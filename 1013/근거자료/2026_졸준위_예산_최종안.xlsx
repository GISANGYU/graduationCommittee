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계원예술대학교\2026학회장\졸업준비위원회\1013 예산 확정 보고\근거자료\"/>
    </mc:Choice>
  </mc:AlternateContent>
  <xr:revisionPtr revIDLastSave="0" documentId="13_ncr:1_{AB81B22E-87C6-4271-8B0D-1FE1BB6C21AB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요약" sheetId="1" r:id="rId1"/>
    <sheet name="졸준위예산_항목별" sheetId="2" r:id="rId2"/>
    <sheet name="시제품제작비" sheetId="3" r:id="rId3"/>
    <sheet name="확인필요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3" l="1"/>
  <c r="B45" i="3"/>
  <c r="D33" i="3"/>
  <c r="F32" i="3"/>
  <c r="E32" i="3"/>
  <c r="G32" i="3" s="1"/>
  <c r="F31" i="3"/>
  <c r="E31" i="3"/>
  <c r="G31" i="3" s="1"/>
  <c r="F30" i="3"/>
  <c r="E30" i="3"/>
  <c r="G30" i="3" s="1"/>
  <c r="F29" i="3"/>
  <c r="E29" i="3"/>
  <c r="G29" i="3" s="1"/>
  <c r="F28" i="3"/>
  <c r="E28" i="3"/>
  <c r="G28" i="3" s="1"/>
  <c r="F27" i="3"/>
  <c r="E27" i="3"/>
  <c r="G27" i="3" s="1"/>
  <c r="F26" i="3"/>
  <c r="E26" i="3"/>
  <c r="G26" i="3" s="1"/>
  <c r="F25" i="3"/>
  <c r="E25" i="3"/>
  <c r="G25" i="3" s="1"/>
  <c r="F24" i="3"/>
  <c r="E24" i="3"/>
  <c r="G24" i="3" s="1"/>
  <c r="F23" i="3"/>
  <c r="E23" i="3"/>
  <c r="G23" i="3" s="1"/>
  <c r="F22" i="3"/>
  <c r="E22" i="3"/>
  <c r="G22" i="3" s="1"/>
  <c r="F21" i="3"/>
  <c r="E21" i="3"/>
  <c r="G21" i="3" s="1"/>
  <c r="F20" i="3"/>
  <c r="E20" i="3"/>
  <c r="F19" i="3"/>
  <c r="E19" i="3"/>
  <c r="G19" i="3" s="1"/>
  <c r="F18" i="3"/>
  <c r="E18" i="3"/>
  <c r="G18" i="3" s="1"/>
  <c r="F17" i="3"/>
  <c r="G17" i="3" s="1"/>
  <c r="E17" i="3"/>
  <c r="F16" i="3"/>
  <c r="E16" i="3"/>
  <c r="G16" i="3" s="1"/>
  <c r="B12" i="3"/>
  <c r="E11" i="3"/>
  <c r="D11" i="3"/>
  <c r="F11" i="3" s="1"/>
  <c r="G11" i="3" s="1"/>
  <c r="C11" i="3"/>
  <c r="E10" i="3"/>
  <c r="E12" i="3" s="1"/>
  <c r="C46" i="3" s="1"/>
  <c r="C47" i="3" s="1"/>
  <c r="D10" i="3"/>
  <c r="F10" i="3" s="1"/>
  <c r="G10" i="3" s="1"/>
  <c r="C10" i="3"/>
  <c r="E9" i="3"/>
  <c r="D9" i="3"/>
  <c r="F9" i="3" s="1"/>
  <c r="C9" i="3"/>
  <c r="F45" i="2"/>
  <c r="E44" i="2"/>
  <c r="D44" i="2"/>
  <c r="C44" i="2"/>
  <c r="B44" i="2"/>
  <c r="E43" i="2"/>
  <c r="D43" i="2"/>
  <c r="E42" i="2"/>
  <c r="D42" i="2"/>
  <c r="C42" i="2"/>
  <c r="B42" i="2"/>
  <c r="E41" i="2"/>
  <c r="D40" i="2"/>
  <c r="C40" i="2"/>
  <c r="D39" i="2"/>
  <c r="F33" i="2"/>
  <c r="F32" i="2"/>
  <c r="F31" i="2"/>
  <c r="F30" i="2"/>
  <c r="C43" i="2" s="1"/>
  <c r="F29" i="2"/>
  <c r="F28" i="2"/>
  <c r="F27" i="2"/>
  <c r="F26" i="2"/>
  <c r="F25" i="2"/>
  <c r="F24" i="2"/>
  <c r="F23" i="2"/>
  <c r="F22" i="2"/>
  <c r="F21" i="2"/>
  <c r="C41" i="2" s="1"/>
  <c r="F20" i="2"/>
  <c r="B41" i="2" s="1"/>
  <c r="F19" i="2"/>
  <c r="F18" i="2"/>
  <c r="F17" i="2"/>
  <c r="F16" i="2"/>
  <c r="F15" i="2"/>
  <c r="E40" i="2" s="1"/>
  <c r="F14" i="2"/>
  <c r="F13" i="2"/>
  <c r="F12" i="2"/>
  <c r="F11" i="2"/>
  <c r="F10" i="2"/>
  <c r="F9" i="2"/>
  <c r="F8" i="2"/>
  <c r="F7" i="2"/>
  <c r="F6" i="2"/>
  <c r="F5" i="2"/>
  <c r="C45" i="1"/>
  <c r="B22" i="1"/>
  <c r="B15" i="1"/>
  <c r="D21" i="1" s="1"/>
  <c r="D24" i="1" s="1"/>
  <c r="B8" i="1"/>
  <c r="B23" i="1" s="1"/>
  <c r="B6" i="1"/>
  <c r="B9" i="1" s="1"/>
  <c r="F33" i="3" l="1"/>
  <c r="G20" i="3"/>
  <c r="B40" i="2"/>
  <c r="B21" i="1"/>
  <c r="C12" i="3"/>
  <c r="B39" i="2"/>
  <c r="C39" i="2"/>
  <c r="C45" i="2" s="1"/>
  <c r="C21" i="1" s="1"/>
  <c r="D41" i="2"/>
  <c r="D45" i="2" s="1"/>
  <c r="C22" i="1" s="1"/>
  <c r="F22" i="1" s="1"/>
  <c r="B28" i="1" s="1"/>
  <c r="D45" i="1"/>
  <c r="B24" i="1"/>
  <c r="G33" i="3"/>
  <c r="G9" i="3"/>
  <c r="F12" i="3"/>
  <c r="E39" i="2"/>
  <c r="E45" i="2" s="1"/>
  <c r="C23" i="1" s="1"/>
  <c r="F23" i="1" s="1"/>
  <c r="E33" i="3"/>
  <c r="D12" i="3"/>
  <c r="B10" i="1" s="1"/>
  <c r="B11" i="1" s="1"/>
  <c r="F35" i="2"/>
  <c r="B43" i="2"/>
  <c r="B45" i="2" s="1"/>
  <c r="B14" i="1" s="1"/>
  <c r="B46" i="3"/>
  <c r="B47" i="3" s="1"/>
  <c r="B16" i="1" l="1"/>
  <c r="E21" i="1" s="1"/>
  <c r="E24" i="1" s="1"/>
  <c r="C24" i="1"/>
  <c r="B29" i="1"/>
  <c r="B30" i="1" s="1"/>
  <c r="F21" i="1"/>
  <c r="B38" i="1" l="1"/>
  <c r="B39" i="1" s="1"/>
  <c r="B32" i="1"/>
  <c r="F24" i="1"/>
  <c r="B17" i="1"/>
  <c r="B18" i="1" s="1"/>
  <c r="B33" i="1" s="1"/>
  <c r="B35" i="1" l="1"/>
  <c r="B34" i="1"/>
</calcChain>
</file>

<file path=xl/sharedStrings.xml><?xml version="1.0" encoding="utf-8"?>
<sst xmlns="http://schemas.openxmlformats.org/spreadsheetml/2006/main" count="399" uniqueCount="250">
  <si>
    <t>2026 졸업준비위원회 예산 확정안 (10/13 기준)</t>
  </si>
  <si>
    <t>전시지원비 10.12 공문 확정 · 회의비 1인 30,000원 · 굿즈 지원 없음 → 전시 환경 예산 · 노란 칸 = 입력/확인 필요</t>
  </si>
  <si>
    <t>① 재원</t>
  </si>
  <si>
    <t>금액</t>
  </si>
  <si>
    <t>사용처</t>
  </si>
  <si>
    <t>결제</t>
  </si>
  <si>
    <t>납부 인원</t>
  </si>
  <si>
    <t>17팀</t>
  </si>
  <si>
    <t>학생회비</t>
  </si>
  <si>
    <t>제한 없음</t>
  </si>
  <si>
    <t>총무</t>
  </si>
  <si>
    <t>성과전시지원비</t>
  </si>
  <si>
    <t>전시 물품 · 렌탈 · 인쇄물 (회의비 · IT 기기 구매 · 개인 소장 불가) · 올해 아이맥 대여</t>
  </si>
  <si>
    <t>사업단</t>
  </si>
  <si>
    <t>전시지원비</t>
  </si>
  <si>
    <t>소모성 경비 (회의비 · 식비 불가) · 10.12 공문 1인 25,000원</t>
  </si>
  <si>
    <t>운영 예산 합계</t>
  </si>
  <si>
    <t>시제품제작지원비</t>
  </si>
  <si>
    <t>가벽 공제 후 팀 자율 (장비 대여 · 인쇄물) · 굿즈 불가</t>
  </si>
  <si>
    <t>전체 예산</t>
  </si>
  <si>
    <t>② 운영 예산 책정</t>
  </si>
  <si>
    <t>비고</t>
  </si>
  <si>
    <t>졸준위 팀 예산</t>
  </si>
  <si>
    <t>6개 팀 · 시트 졸준위예산_항목별</t>
  </si>
  <si>
    <t>전시 환경 예산</t>
  </si>
  <si>
    <t>공간 연출 · 부스 환경 · 조명 · 안내 사인 등 · 학생회비 (굿즈 지원 대신)</t>
  </si>
  <si>
    <t>예비비</t>
  </si>
  <si>
    <t>졸준위 팀 예산(아이맥 제외)의 10% · 학생회비</t>
  </si>
  <si>
    <t>최종 예산</t>
  </si>
  <si>
    <t>남는 금액</t>
  </si>
  <si>
    <t>③ 재원별 배정</t>
  </si>
  <si>
    <t>확보</t>
  </si>
  <si>
    <t>졸준위 팀 배정</t>
  </si>
  <si>
    <t>전시 환경</t>
  </si>
  <si>
    <t>남음</t>
  </si>
  <si>
    <t>합계</t>
  </si>
  <si>
    <t>④ 남는 금액 투입 가안</t>
  </si>
  <si>
    <t>재원</t>
  </si>
  <si>
    <t>① 전시팀 가벽 확대 (26개 · 600만원 수준)</t>
  </si>
  <si>
    <t>성과전시 · 전시지원비 남음 먼저, 부족분 학생회비</t>
  </si>
  <si>
    <t xml:space="preserve">   그중 성과전시지원비</t>
  </si>
  <si>
    <t xml:space="preserve">   그중 전시지원비</t>
  </si>
  <si>
    <t xml:space="preserve">   그중 학생회비</t>
  </si>
  <si>
    <t>② 오프닝팀 추가 상품 · 행사</t>
  </si>
  <si>
    <t>학생회비 · 이번 안은 없음</t>
  </si>
  <si>
    <t>③ 예산안 증액 대비</t>
  </si>
  <si>
    <t>학생회비 남음 전부 · 안 쓰면 전시 후 반환</t>
  </si>
  <si>
    <t>④ 전시 후 회비 반환</t>
  </si>
  <si>
    <t xml:space="preserve">   1인 반환</t>
  </si>
  <si>
    <t xml:space="preserve">   1인 반환 (③ 미사용 시)</t>
  </si>
  <si>
    <t>⑤ 회비 점검</t>
  </si>
  <si>
    <t>학생회비로 내는 금액</t>
  </si>
  <si>
    <t>회의비 · 선물 · 상품 · IT 기기 · 지원비 잔액 부족분 · 전시 환경 · 예비비</t>
  </si>
  <si>
    <t xml:space="preserve">   1인 필요 회비</t>
  </si>
  <si>
    <t>확정 회비 100,000원</t>
  </si>
  <si>
    <t>참고 · 연도별</t>
  </si>
  <si>
    <t>1인 회비</t>
  </si>
  <si>
    <t>인원</t>
  </si>
  <si>
    <t>운영 예산</t>
  </si>
  <si>
    <t>2023</t>
  </si>
  <si>
    <t>2024</t>
  </si>
  <si>
    <t>2025</t>
  </si>
  <si>
    <t>2026</t>
  </si>
  <si>
    <t>졸준위 예산 항목별 (운영 예산 = 학생회비 · 성과전시지원비 · 전시지원비)</t>
  </si>
  <si>
    <t>가벽 · 백월 · 아이맥 대여는 시제품제작비(시트 '시제품제작비'). 상태: 견적 = 업체 견적·링크 / 단가 = 단가 확정 / 잠정 = 2025 같은 항목 금액 / 전환 = 2025에 시제품제작비로 냈던 항목 / 미정. 회의비는 전 팀 1인 30,000원.</t>
  </si>
  <si>
    <t>팀</t>
  </si>
  <si>
    <t>구분</t>
  </si>
  <si>
    <t>항목</t>
  </si>
  <si>
    <t>수량</t>
  </si>
  <si>
    <t>단가</t>
  </si>
  <si>
    <t>상태</t>
  </si>
  <si>
    <t>근거</t>
  </si>
  <si>
    <t>오프닝팀</t>
  </si>
  <si>
    <t>세레모니</t>
  </si>
  <si>
    <t>플라스틱 샴페인잔 (200개 묶음)</t>
  </si>
  <si>
    <t>견적</t>
  </si>
  <si>
    <t>예비예산안 · KJPT</t>
  </si>
  <si>
    <t>페인트마커 12색</t>
  </si>
  <si>
    <t>예비예산안 · 배송비 별도</t>
  </si>
  <si>
    <t>졸업생·교수님 선물</t>
  </si>
  <si>
    <t>케이크 모양 손수건 (최소주문 170개)</t>
  </si>
  <si>
    <t>부가세 포함</t>
  </si>
  <si>
    <t>책갈피 맞춤 제작 133개</t>
  </si>
  <si>
    <t>마플 133×870+3,000</t>
  </si>
  <si>
    <t>브랜딩 프린팅 타월 133개</t>
  </si>
  <si>
    <t>수건닷컴 후보 · 2025 자수 타올 6,500원</t>
  </si>
  <si>
    <t>게임</t>
  </si>
  <si>
    <t>게임 상품비</t>
  </si>
  <si>
    <t>상품 구성 추후 확정</t>
  </si>
  <si>
    <t>행사 상품</t>
  </si>
  <si>
    <t>행사 상품 (30인분)</t>
  </si>
  <si>
    <t>1인 6만원 기준 (5만원이면 −300,000)</t>
  </si>
  <si>
    <t>선물 포장</t>
  </si>
  <si>
    <t>포장 상자 · 카드택 · 리본 · 포장지</t>
  </si>
  <si>
    <t>잠정</t>
  </si>
  <si>
    <t>2025 동일 항목 합계</t>
  </si>
  <si>
    <t>기타</t>
  </si>
  <si>
    <t>리본커팅식</t>
  </si>
  <si>
    <t>2025 공단 리본끈</t>
  </si>
  <si>
    <t>전시 초대장</t>
  </si>
  <si>
    <t>–</t>
  </si>
  <si>
    <t>미정</t>
  </si>
  <si>
    <t>브랜딩 인쇄물과 함께 진행할지 미정</t>
  </si>
  <si>
    <t>전시팀</t>
  </si>
  <si>
    <t>집기</t>
  </si>
  <si>
    <t>부스 테이블 · 테이블보 (15팀)</t>
  </si>
  <si>
    <t>노션 견적 (rentalfr) · 2025에도 테이블 렌탈은 전시지원금</t>
  </si>
  <si>
    <t>리셉션 테이블 1000×450</t>
  </si>
  <si>
    <t>8t-16t · 엘리베이터 앞</t>
  </si>
  <si>
    <t>운영</t>
  </si>
  <si>
    <t>회의비</t>
  </si>
  <si>
    <t>18인 × 30,000 (노션 12인 → 인원 기준 조정)</t>
  </si>
  <si>
    <t>공간 연출</t>
  </si>
  <si>
    <t>암막 · 리무버블 · 파티션 시트지, 암막커튼, 트러스 흰천</t>
  </si>
  <si>
    <t>전환</t>
  </si>
  <si>
    <t>2025 시제품 항목 · 2025에도 시트지는 전시지원금 결제</t>
  </si>
  <si>
    <t>허니콤보드 (크리에이티브 스튜디오 · 리셉션) · 볼트 · 배송</t>
  </si>
  <si>
    <t>2025 시제품 항목 · 8t-16t</t>
  </si>
  <si>
    <t>하드웨어팀</t>
  </si>
  <si>
    <t>장비 대여</t>
  </si>
  <si>
    <t>아이맥 27인치 17대 대여 (알앤텍)</t>
  </si>
  <si>
    <t>VAT 포함 · 배송 · 회수 · 설치 포함 · 현금 선불 조건 → 사업단 결제 확인</t>
  </si>
  <si>
    <t>8인 × 30,000</t>
  </si>
  <si>
    <t>공통 설비</t>
  </si>
  <si>
    <t>멀티탭 · 연장선 · 케이블</t>
  </si>
  <si>
    <t>2025 하드웨어 배정 기준</t>
  </si>
  <si>
    <t>브랜딩팀</t>
  </si>
  <si>
    <t>인쇄물</t>
  </si>
  <si>
    <t>대형 포스터 A2 4종 (각 30장)</t>
  </si>
  <si>
    <t>레드프린팅</t>
  </si>
  <si>
    <t>대형 현수막 3종</t>
  </si>
  <si>
    <t>600×320 · 690×220 · 430×300</t>
  </si>
  <si>
    <t>엽서 · 컬러 시트 커팅 · 스태프 명찰</t>
  </si>
  <si>
    <t>렌탈</t>
  </si>
  <si>
    <t>즉석 사진기 대여 (3일)</t>
  </si>
  <si>
    <t>성과전시는 아이맥에 사용</t>
  </si>
  <si>
    <t>에어마우스 · 웹 도메인 · 편집 툴 · 포장 봉투</t>
  </si>
  <si>
    <t>IT 기기 · 소프트웨어는 지원비 불가</t>
  </si>
  <si>
    <t>3D 리플렛 300부 · 명함 · 현수막 2종 · 아크릴 명찰</t>
  </si>
  <si>
    <t>2025 시제품 항목 · 전시지원비 잔액 부족</t>
  </si>
  <si>
    <t>영상팀</t>
  </si>
  <si>
    <t>10인 × 30,000</t>
  </si>
  <si>
    <t>촬영</t>
  </si>
  <si>
    <t>촬영 장비 대여 · 소모품</t>
  </si>
  <si>
    <t>2025 배정 기준</t>
  </si>
  <si>
    <t>본부</t>
  </si>
  <si>
    <t>졸업전시 사이트 도메인 연장</t>
  </si>
  <si>
    <t>2024 · 2025 동일 금액 (카페24)</t>
  </si>
  <si>
    <t>2인 × 30,000</t>
  </si>
  <si>
    <t>팀별 · 재원별 합계</t>
  </si>
  <si>
    <t>팀 예산</t>
  </si>
  <si>
    <t>2025 비교</t>
  </si>
  <si>
    <t>노션 6,362,000 중 가벽 · 백월 · 배송 5,463,000은 시제품 ⓐ</t>
  </si>
  <si>
    <t>아이맥 17대 대여 2,431,000 포함 (성과전시)</t>
  </si>
  <si>
    <t>이벤트 소품(굿즈) 150,220 제외</t>
  </si>
  <si>
    <t>※ 2025 비교는 회비 · 지원금 실제 집행 + 2025 시제품 항목. 2025엔 가벽 · 백월 · 아이맥이 운영 예산에 들어 있었음.</t>
  </si>
  <si>
    <t>시제품제작지원비 (팀 배정액 · 졸준위 운영 예산과 별도)</t>
  </si>
  <si>
    <t>1인 120,000원 × 팀 인원 · 가벽 · 백월 공제 후 잔액은 팀 자율(장비 대여 · 인쇄물) · 굿즈 불가(어느 예산으로도 지원 안 함) · 지정 업체: 인쇄 레드프린팅 · 장비 대여 알앤텍</t>
  </si>
  <si>
    <t>1인 배정</t>
  </si>
  <si>
    <t>1인 가벽 · 백월 공제 (잠정)</t>
  </si>
  <si>
    <t>견적 확정 후 수정 (교수님 승인 · 담당부서 확인 조건)</t>
  </si>
  <si>
    <t>팀 인원</t>
  </si>
  <si>
    <t>팀 수</t>
  </si>
  <si>
    <t>인원 합계</t>
  </si>
  <si>
    <t>팀 배정액</t>
  </si>
  <si>
    <t>가벽 · 백월 공제</t>
  </si>
  <si>
    <t>팀 자율 (장비 대여 · 인쇄물)</t>
  </si>
  <si>
    <t>1인 자율</t>
  </si>
  <si>
    <t>※ 2025년 1인 인쇄 110,000원(레드프린팅) + 화방 10,000원. 아이맥 대여는 올해 성과전시지원비(졸준위 하드웨어팀)로 결제.</t>
  </si>
  <si>
    <t>No</t>
  </si>
  <si>
    <t>팀장</t>
  </si>
  <si>
    <t>부문</t>
  </si>
  <si>
    <t>배정액</t>
  </si>
  <si>
    <t>팀 자율</t>
  </si>
  <si>
    <t>이한숲</t>
  </si>
  <si>
    <t>졸업전시 브랜딩</t>
  </si>
  <si>
    <t>한수현</t>
  </si>
  <si>
    <t>신규 서비스</t>
  </si>
  <si>
    <t>정서영</t>
  </si>
  <si>
    <t>김기현</t>
  </si>
  <si>
    <t>김유란</t>
  </si>
  <si>
    <t>손예찬</t>
  </si>
  <si>
    <t>윤채원</t>
  </si>
  <si>
    <t>백귀리</t>
  </si>
  <si>
    <t>조윤정</t>
  </si>
  <si>
    <t>곽효진</t>
  </si>
  <si>
    <t>이준</t>
  </si>
  <si>
    <t>조강희</t>
  </si>
  <si>
    <t>인터랙티브</t>
  </si>
  <si>
    <t>이채연</t>
  </si>
  <si>
    <t>홍성주</t>
  </si>
  <si>
    <t>전영서</t>
  </si>
  <si>
    <t>정시진</t>
  </si>
  <si>
    <t>영상</t>
  </si>
  <si>
    <t>김우성</t>
  </si>
  <si>
    <t>※ 11번 팀 7인 반영 (총 113명)</t>
  </si>
  <si>
    <t>지정 업체</t>
  </si>
  <si>
    <t>용도</t>
  </si>
  <si>
    <t>온라인 장바구니 → 조교님 계정 전달 · 사업단 결제 (2025에도 사용)</t>
  </si>
  <si>
    <t>알앤텍</t>
  </si>
  <si>
    <t>아이맥 견적 업체 · 팀별 장비 대여도 같은 업체로</t>
  </si>
  <si>
    <t>가벽 · 백월 견적</t>
  </si>
  <si>
    <t>A안 (일반 가벽)</t>
  </si>
  <si>
    <t>B안 (스탠딩 백월)</t>
  </si>
  <si>
    <t>CS 가벽 24개 (팀당 3개 · 8팀)</t>
  </si>
  <si>
    <t>A 라이트너 / B 8t-16t</t>
  </si>
  <si>
    <t>엘리베이터 앞 스탠다드 백월 7개</t>
  </si>
  <si>
    <t>공통 전시 환경</t>
  </si>
  <si>
    <t>백월 배송비</t>
  </si>
  <si>
    <t>견적 합계</t>
  </si>
  <si>
    <t>공제 총액</t>
  </si>
  <si>
    <t>여유 (공제 − 견적)</t>
  </si>
  <si>
    <t>확정 시 1인 공제액을 낮춰 팀 자율 금액을 늘릴 수 있음</t>
  </si>
  <si>
    <t>확인할 것 (10/13 기준)</t>
  </si>
  <si>
    <t>#</t>
  </si>
  <si>
    <t>내용</t>
  </si>
  <si>
    <t>담당</t>
  </si>
  <si>
    <t>시점</t>
  </si>
  <si>
    <t>전시지원비 사용 기준</t>
  </si>
  <si>
    <t>10.12 공문 기준 사용처(인쇄물 · 테이블 렌탈 · 가벽 렌탈 가능 여부) · 사용 기간 · 정산 마감</t>
  </si>
  <si>
    <t>위원장 → 조교님</t>
  </si>
  <si>
    <t>10/20 전</t>
  </si>
  <si>
    <t>아이맥 대여 결제</t>
  </si>
  <si>
    <t>알앤텍 2,431,000원을 성과전시지원비로 결제 가능한지 · 현금 선불 조건과 사업단 결제 · 전자세금계산서</t>
  </si>
  <si>
    <t>위원장 → 조교님 · 하드웨어팀</t>
  </si>
  <si>
    <t>2026 캡스톤 지원비 공문</t>
  </si>
  <si>
    <t>성과전시 · 시제품제작비 사용 기간 · 정산 마감 · 결제 사업단</t>
  </si>
  <si>
    <t>가안 팀 예산안</t>
  </si>
  <si>
    <t>브랜딩 · 영상 · 본부 · 하드웨어 공통 설비 금액을 노션에 입력 (현재 2025 기준 가안)</t>
  </si>
  <si>
    <t>각 팀장</t>
  </si>
  <si>
    <t>10/20 소집 전</t>
  </si>
  <si>
    <t>전시팀 가벽 방식 · 규모</t>
  </si>
  <si>
    <t>A안 5,463,000 / B안 3,219,000 · 확대 규모 (남는 금액 ①)</t>
  </si>
  <si>
    <t>교수님 승인 후</t>
  </si>
  <si>
    <t>팀 자율 시제품비</t>
  </si>
  <si>
    <t>지정 업체 두 곳(레드프린팅 · 알앤텍) 안내 · 팀별 장바구니 마감일</t>
  </si>
  <si>
    <t>본부 · 하드웨어팀</t>
  </si>
  <si>
    <t>오프닝 예산</t>
  </si>
  <si>
    <t>선물 3종 동시 구성 여부 · 행사 상품 단가(5만/6만)</t>
  </si>
  <si>
    <t>오프닝팀 · 위원장</t>
  </si>
  <si>
    <t>공간 연출 · 부스 환경 세부 항목과 업체 정리</t>
  </si>
  <si>
    <t>전시팀 · 교수님 승인</t>
  </si>
  <si>
    <t>지원비 결제</t>
  </si>
  <si>
    <t>업체 사업자등록증 · 하루 전 결제 · 70만원 이상 전자세금계산서 · 온라인은 조교님께 계정 전달</t>
  </si>
  <si>
    <t>각 팀 · 총무</t>
  </si>
  <si>
    <t>상시</t>
  </si>
  <si>
    <t>정산 · 반환</t>
  </si>
  <si>
    <t>전시 후 정산 · 회비 반환 일정과 방법 공지</t>
  </si>
  <si>
    <t>본부(총무)</t>
  </si>
  <si>
    <t>전시 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</si>
</sst>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4EE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3" fontId="0" fillId="0" borderId="0" xfId="0" applyNumberFormat="1"/>
    <xf numFmtId="0" fontId="2" fillId="4" borderId="0" xfId="0" applyFont="1" applyFill="1"/>
    <xf numFmtId="3" fontId="2" fillId="4" borderId="0" xfId="0" applyNumberFormat="1" applyFont="1" applyFill="1"/>
    <xf numFmtId="3" fontId="0" fillId="3" borderId="0" xfId="0" applyNumberFormat="1" applyFill="1"/>
    <xf numFmtId="0" fontId="0" fillId="3" borderId="0" xfId="0" applyFill="1"/>
    <xf numFmtId="0" fontId="2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showGridLines="0" tabSelected="1" workbookViewId="0"/>
  </sheetViews>
  <sheetFormatPr defaultRowHeight="16.5" x14ac:dyDescent="0.3"/>
  <cols>
    <col min="1" max="1" width="36" customWidth="1"/>
    <col min="2" max="2" width="16" customWidth="1"/>
    <col min="3" max="3" width="60" customWidth="1"/>
    <col min="4" max="4" width="16" customWidth="1"/>
    <col min="5" max="5" width="12" customWidth="1"/>
    <col min="6" max="6" width="14" customWidth="1"/>
  </cols>
  <sheetData>
    <row r="1" spans="1:4" ht="20.25" x14ac:dyDescent="0.35">
      <c r="A1" s="1" t="s">
        <v>0</v>
      </c>
    </row>
    <row r="2" spans="1:4" x14ac:dyDescent="0.3">
      <c r="A2" t="s">
        <v>1</v>
      </c>
    </row>
    <row r="4" spans="1:4" x14ac:dyDescent="0.3">
      <c r="A4" s="2" t="s">
        <v>2</v>
      </c>
      <c r="B4" s="2" t="s">
        <v>3</v>
      </c>
      <c r="C4" s="2" t="s">
        <v>4</v>
      </c>
      <c r="D4" s="2" t="s">
        <v>5</v>
      </c>
    </row>
    <row r="5" spans="1:4" x14ac:dyDescent="0.3">
      <c r="A5" t="s">
        <v>6</v>
      </c>
      <c r="B5" s="3">
        <v>113</v>
      </c>
      <c r="C5" t="s">
        <v>7</v>
      </c>
    </row>
    <row r="6" spans="1:4" x14ac:dyDescent="0.3">
      <c r="A6" t="s">
        <v>8</v>
      </c>
      <c r="B6" s="3">
        <f>100000*B5</f>
        <v>11300000</v>
      </c>
      <c r="C6" t="s">
        <v>9</v>
      </c>
      <c r="D6" t="s">
        <v>10</v>
      </c>
    </row>
    <row r="7" spans="1:4" x14ac:dyDescent="0.3">
      <c r="A7" t="s">
        <v>11</v>
      </c>
      <c r="B7" s="3">
        <v>2500000</v>
      </c>
      <c r="C7" t="s">
        <v>12</v>
      </c>
      <c r="D7" t="s">
        <v>13</v>
      </c>
    </row>
    <row r="8" spans="1:4" x14ac:dyDescent="0.3">
      <c r="A8" t="s">
        <v>14</v>
      </c>
      <c r="B8" s="3">
        <f>25000*B5</f>
        <v>2825000</v>
      </c>
      <c r="C8" t="s">
        <v>15</v>
      </c>
      <c r="D8" t="s">
        <v>13</v>
      </c>
    </row>
    <row r="9" spans="1:4" x14ac:dyDescent="0.3">
      <c r="A9" s="4" t="s">
        <v>16</v>
      </c>
      <c r="B9" s="5">
        <f>SUM(B6:B8)</f>
        <v>16625000</v>
      </c>
    </row>
    <row r="10" spans="1:4" x14ac:dyDescent="0.3">
      <c r="A10" t="s">
        <v>17</v>
      </c>
      <c r="B10" s="3">
        <f>시제품제작비!D12</f>
        <v>13560000</v>
      </c>
      <c r="C10" t="s">
        <v>18</v>
      </c>
      <c r="D10" t="s">
        <v>13</v>
      </c>
    </row>
    <row r="11" spans="1:4" x14ac:dyDescent="0.3">
      <c r="A11" s="4" t="s">
        <v>19</v>
      </c>
      <c r="B11" s="5">
        <f>B9+B10</f>
        <v>30185000</v>
      </c>
    </row>
    <row r="13" spans="1:4" x14ac:dyDescent="0.3">
      <c r="A13" s="2" t="s">
        <v>20</v>
      </c>
      <c r="B13" s="2" t="s">
        <v>3</v>
      </c>
      <c r="C13" s="2" t="s">
        <v>21</v>
      </c>
    </row>
    <row r="14" spans="1:4" x14ac:dyDescent="0.3">
      <c r="A14" t="s">
        <v>22</v>
      </c>
      <c r="B14" s="3">
        <f>졸준위예산_항목별!B45</f>
        <v>12445065</v>
      </c>
      <c r="C14" t="s">
        <v>23</v>
      </c>
    </row>
    <row r="15" spans="1:4" x14ac:dyDescent="0.3">
      <c r="A15" t="s">
        <v>24</v>
      </c>
      <c r="B15" s="3">
        <f>20000*B5</f>
        <v>2260000</v>
      </c>
      <c r="C15" t="s">
        <v>25</v>
      </c>
    </row>
    <row r="16" spans="1:4" x14ac:dyDescent="0.3">
      <c r="A16" t="s">
        <v>26</v>
      </c>
      <c r="B16" s="3">
        <f>ROUND((B14-졸준위예산_항목별!F20)*0.1,-4)</f>
        <v>1000000</v>
      </c>
      <c r="C16" t="s">
        <v>27</v>
      </c>
    </row>
    <row r="17" spans="1:6" x14ac:dyDescent="0.3">
      <c r="A17" s="4" t="s">
        <v>28</v>
      </c>
      <c r="B17" s="5">
        <f>B14+B15+B16</f>
        <v>15705065</v>
      </c>
    </row>
    <row r="18" spans="1:6" x14ac:dyDescent="0.3">
      <c r="A18" s="4" t="s">
        <v>29</v>
      </c>
      <c r="B18" s="5">
        <f>B9-B17</f>
        <v>919935</v>
      </c>
    </row>
    <row r="20" spans="1:6" x14ac:dyDescent="0.3">
      <c r="A20" s="2" t="s">
        <v>30</v>
      </c>
      <c r="B20" s="2" t="s">
        <v>31</v>
      </c>
      <c r="C20" s="2" t="s">
        <v>32</v>
      </c>
      <c r="D20" s="2" t="s">
        <v>33</v>
      </c>
      <c r="E20" s="2" t="s">
        <v>26</v>
      </c>
      <c r="F20" s="2" t="s">
        <v>34</v>
      </c>
    </row>
    <row r="21" spans="1:6" x14ac:dyDescent="0.3">
      <c r="A21" t="s">
        <v>8</v>
      </c>
      <c r="B21" s="3">
        <f>B6</f>
        <v>11300000</v>
      </c>
      <c r="C21" s="3">
        <f>졸준위예산_항목별!C45</f>
        <v>7397610</v>
      </c>
      <c r="D21" s="3">
        <f>B15</f>
        <v>2260000</v>
      </c>
      <c r="E21" s="3">
        <f>B16</f>
        <v>1000000</v>
      </c>
      <c r="F21" s="3">
        <f>B21-C21-D21-E21</f>
        <v>642390</v>
      </c>
    </row>
    <row r="22" spans="1:6" x14ac:dyDescent="0.3">
      <c r="A22" t="s">
        <v>11</v>
      </c>
      <c r="B22" s="3">
        <f>B7</f>
        <v>2500000</v>
      </c>
      <c r="C22" s="3">
        <f>졸준위예산_항목별!D45</f>
        <v>2431000</v>
      </c>
      <c r="D22" s="3">
        <v>0</v>
      </c>
      <c r="E22" s="3">
        <v>0</v>
      </c>
      <c r="F22" s="3">
        <f>B22-C22-D22-E22</f>
        <v>69000</v>
      </c>
    </row>
    <row r="23" spans="1:6" x14ac:dyDescent="0.3">
      <c r="A23" t="s">
        <v>14</v>
      </c>
      <c r="B23" s="3">
        <f>B8</f>
        <v>2825000</v>
      </c>
      <c r="C23" s="3">
        <f>졸준위예산_항목별!E45</f>
        <v>2616455</v>
      </c>
      <c r="D23" s="3">
        <v>0</v>
      </c>
      <c r="E23" s="3">
        <v>0</v>
      </c>
      <c r="F23" s="3">
        <f>B23-C23-D23-E23</f>
        <v>208545</v>
      </c>
    </row>
    <row r="24" spans="1:6" x14ac:dyDescent="0.3">
      <c r="A24" s="4" t="s">
        <v>35</v>
      </c>
      <c r="B24" s="5">
        <f>SUM(B21:B23)</f>
        <v>16625000</v>
      </c>
      <c r="C24" s="5">
        <f>SUM(C21:C23)</f>
        <v>12445065</v>
      </c>
      <c r="D24" s="5">
        <f>SUM(D21:D23)</f>
        <v>2260000</v>
      </c>
      <c r="E24" s="5">
        <f>SUM(E21:E23)</f>
        <v>1000000</v>
      </c>
      <c r="F24" s="5">
        <f>SUM(F21:F23)</f>
        <v>919935</v>
      </c>
    </row>
    <row r="26" spans="1:6" x14ac:dyDescent="0.3">
      <c r="A26" s="2" t="s">
        <v>36</v>
      </c>
      <c r="B26" s="2" t="s">
        <v>3</v>
      </c>
      <c r="C26" s="2" t="s">
        <v>37</v>
      </c>
    </row>
    <row r="27" spans="1:6" x14ac:dyDescent="0.3">
      <c r="A27" t="s">
        <v>38</v>
      </c>
      <c r="B27" s="6">
        <v>350000</v>
      </c>
      <c r="C27" t="s">
        <v>39</v>
      </c>
    </row>
    <row r="28" spans="1:6" x14ac:dyDescent="0.3">
      <c r="A28" t="s">
        <v>40</v>
      </c>
      <c r="B28" s="3">
        <f>MIN(B27,F22)</f>
        <v>69000</v>
      </c>
    </row>
    <row r="29" spans="1:6" x14ac:dyDescent="0.3">
      <c r="A29" t="s">
        <v>41</v>
      </c>
      <c r="B29" s="3">
        <f>MIN(B27-B28,F23)</f>
        <v>208545</v>
      </c>
    </row>
    <row r="30" spans="1:6" x14ac:dyDescent="0.3">
      <c r="A30" t="s">
        <v>42</v>
      </c>
      <c r="B30" s="3">
        <f>B27-B28-B29</f>
        <v>72455</v>
      </c>
    </row>
    <row r="31" spans="1:6" x14ac:dyDescent="0.3">
      <c r="A31" t="s">
        <v>43</v>
      </c>
      <c r="B31" s="6">
        <v>0</v>
      </c>
      <c r="C31" t="s">
        <v>44</v>
      </c>
    </row>
    <row r="32" spans="1:6" x14ac:dyDescent="0.3">
      <c r="A32" t="s">
        <v>45</v>
      </c>
      <c r="B32" s="3">
        <f>F21-B30-B31</f>
        <v>569935</v>
      </c>
      <c r="C32" t="s">
        <v>46</v>
      </c>
    </row>
    <row r="33" spans="1:4" x14ac:dyDescent="0.3">
      <c r="A33" s="4" t="s">
        <v>47</v>
      </c>
      <c r="B33" s="5">
        <f>B18-B27-B31-B32</f>
        <v>0</v>
      </c>
      <c r="C33" s="4"/>
    </row>
    <row r="34" spans="1:4" x14ac:dyDescent="0.3">
      <c r="A34" t="s">
        <v>48</v>
      </c>
      <c r="B34" s="3">
        <f>B33/B5</f>
        <v>0</v>
      </c>
    </row>
    <row r="35" spans="1:4" x14ac:dyDescent="0.3">
      <c r="A35" t="s">
        <v>49</v>
      </c>
      <c r="B35" s="3">
        <f>(B33+B32)/B5</f>
        <v>5043.6725663716816</v>
      </c>
    </row>
    <row r="37" spans="1:4" x14ac:dyDescent="0.3">
      <c r="A37" s="2" t="s">
        <v>50</v>
      </c>
      <c r="B37" s="2" t="s">
        <v>3</v>
      </c>
      <c r="C37" s="2" t="s">
        <v>21</v>
      </c>
    </row>
    <row r="38" spans="1:4" x14ac:dyDescent="0.3">
      <c r="A38" t="s">
        <v>51</v>
      </c>
      <c r="B38" s="3">
        <f>C21+D21+E21</f>
        <v>10657610</v>
      </c>
      <c r="C38" t="s">
        <v>52</v>
      </c>
    </row>
    <row r="39" spans="1:4" x14ac:dyDescent="0.3">
      <c r="A39" t="s">
        <v>53</v>
      </c>
      <c r="B39" s="3">
        <f>B38/B5</f>
        <v>94315.132743362832</v>
      </c>
      <c r="C39" t="s">
        <v>54</v>
      </c>
    </row>
    <row r="41" spans="1:4" x14ac:dyDescent="0.3">
      <c r="A41" s="2" t="s">
        <v>55</v>
      </c>
      <c r="B41" s="2" t="s">
        <v>56</v>
      </c>
      <c r="C41" s="2" t="s">
        <v>57</v>
      </c>
      <c r="D41" s="2" t="s">
        <v>58</v>
      </c>
    </row>
    <row r="42" spans="1:4" x14ac:dyDescent="0.3">
      <c r="A42" t="s">
        <v>59</v>
      </c>
      <c r="B42" s="3">
        <v>70000</v>
      </c>
      <c r="C42" s="3">
        <v>93</v>
      </c>
      <c r="D42" s="3">
        <v>12470000</v>
      </c>
    </row>
    <row r="43" spans="1:4" x14ac:dyDescent="0.3">
      <c r="A43" t="s">
        <v>60</v>
      </c>
      <c r="B43" s="3">
        <v>45000</v>
      </c>
      <c r="C43" s="3">
        <v>103</v>
      </c>
      <c r="D43" s="3">
        <v>10085000</v>
      </c>
    </row>
    <row r="44" spans="1:4" x14ac:dyDescent="0.3">
      <c r="A44" t="s">
        <v>61</v>
      </c>
      <c r="B44" s="3">
        <v>60000</v>
      </c>
      <c r="C44" s="3">
        <v>120</v>
      </c>
      <c r="D44" s="3">
        <v>12900000</v>
      </c>
    </row>
    <row r="45" spans="1:4" x14ac:dyDescent="0.3">
      <c r="A45" t="s">
        <v>62</v>
      </c>
      <c r="B45" s="3">
        <v>100000</v>
      </c>
      <c r="C45" s="3">
        <f>B5</f>
        <v>113</v>
      </c>
      <c r="D45" s="3">
        <f>B9</f>
        <v>16625000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showGridLines="0" workbookViewId="0"/>
  </sheetViews>
  <sheetFormatPr defaultRowHeight="16.5" x14ac:dyDescent="0.3"/>
  <cols>
    <col min="1" max="1" width="12" customWidth="1"/>
    <col min="2" max="2" width="16" customWidth="1"/>
    <col min="3" max="3" width="52" customWidth="1"/>
    <col min="4" max="4" width="7" customWidth="1"/>
    <col min="5" max="5" width="11" customWidth="1"/>
    <col min="6" max="6" width="13" customWidth="1"/>
    <col min="7" max="7" width="15" customWidth="1"/>
    <col min="8" max="8" width="8" customWidth="1"/>
    <col min="9" max="9" width="46" customWidth="1"/>
  </cols>
  <sheetData>
    <row r="1" spans="1:9" ht="20.25" x14ac:dyDescent="0.35">
      <c r="A1" s="1" t="s">
        <v>63</v>
      </c>
    </row>
    <row r="2" spans="1:9" x14ac:dyDescent="0.3">
      <c r="A2" t="s">
        <v>64</v>
      </c>
    </row>
    <row r="4" spans="1:9" x14ac:dyDescent="0.3">
      <c r="A4" s="2" t="s">
        <v>65</v>
      </c>
      <c r="B4" s="2" t="s">
        <v>66</v>
      </c>
      <c r="C4" s="2" t="s">
        <v>67</v>
      </c>
      <c r="D4" s="2" t="s">
        <v>68</v>
      </c>
      <c r="E4" s="2" t="s">
        <v>69</v>
      </c>
      <c r="F4" s="2" t="s">
        <v>3</v>
      </c>
      <c r="G4" s="2" t="s">
        <v>37</v>
      </c>
      <c r="H4" s="2" t="s">
        <v>70</v>
      </c>
      <c r="I4" s="2" t="s">
        <v>71</v>
      </c>
    </row>
    <row r="5" spans="1:9" x14ac:dyDescent="0.3">
      <c r="A5" t="s">
        <v>72</v>
      </c>
      <c r="B5" t="s">
        <v>73</v>
      </c>
      <c r="C5" t="s">
        <v>74</v>
      </c>
      <c r="D5" s="3">
        <v>200</v>
      </c>
      <c r="E5" s="3">
        <v>462</v>
      </c>
      <c r="F5" s="3">
        <f t="shared" ref="F5:F33" si="0">D5*E5</f>
        <v>92400</v>
      </c>
      <c r="G5" t="s">
        <v>14</v>
      </c>
      <c r="H5" t="s">
        <v>75</v>
      </c>
      <c r="I5" t="s">
        <v>76</v>
      </c>
    </row>
    <row r="6" spans="1:9" x14ac:dyDescent="0.3">
      <c r="A6" t="s">
        <v>72</v>
      </c>
      <c r="B6" t="s">
        <v>73</v>
      </c>
      <c r="C6" t="s">
        <v>77</v>
      </c>
      <c r="D6" s="3">
        <v>3</v>
      </c>
      <c r="E6" s="3">
        <v>3780</v>
      </c>
      <c r="F6" s="3">
        <f t="shared" si="0"/>
        <v>11340</v>
      </c>
      <c r="G6" t="s">
        <v>14</v>
      </c>
      <c r="H6" t="s">
        <v>75</v>
      </c>
      <c r="I6" t="s">
        <v>78</v>
      </c>
    </row>
    <row r="7" spans="1:9" x14ac:dyDescent="0.3">
      <c r="A7" t="s">
        <v>72</v>
      </c>
      <c r="B7" t="s">
        <v>79</v>
      </c>
      <c r="C7" t="s">
        <v>80</v>
      </c>
      <c r="D7" s="3">
        <v>1</v>
      </c>
      <c r="E7" s="3">
        <v>568140</v>
      </c>
      <c r="F7" s="3">
        <f t="shared" si="0"/>
        <v>568140</v>
      </c>
      <c r="G7" t="s">
        <v>8</v>
      </c>
      <c r="H7" t="s">
        <v>75</v>
      </c>
      <c r="I7" t="s">
        <v>81</v>
      </c>
    </row>
    <row r="8" spans="1:9" x14ac:dyDescent="0.3">
      <c r="A8" t="s">
        <v>72</v>
      </c>
      <c r="B8" t="s">
        <v>79</v>
      </c>
      <c r="C8" t="s">
        <v>82</v>
      </c>
      <c r="D8" s="3">
        <v>1</v>
      </c>
      <c r="E8" s="3">
        <v>118710</v>
      </c>
      <c r="F8" s="3">
        <f t="shared" si="0"/>
        <v>118710</v>
      </c>
      <c r="G8" t="s">
        <v>8</v>
      </c>
      <c r="H8" t="s">
        <v>75</v>
      </c>
      <c r="I8" t="s">
        <v>83</v>
      </c>
    </row>
    <row r="9" spans="1:9" x14ac:dyDescent="0.3">
      <c r="A9" t="s">
        <v>72</v>
      </c>
      <c r="B9" t="s">
        <v>79</v>
      </c>
      <c r="C9" t="s">
        <v>84</v>
      </c>
      <c r="D9" s="3">
        <v>133</v>
      </c>
      <c r="E9" s="3">
        <v>6000</v>
      </c>
      <c r="F9" s="3">
        <f t="shared" si="0"/>
        <v>798000</v>
      </c>
      <c r="G9" t="s">
        <v>8</v>
      </c>
      <c r="H9" t="s">
        <v>69</v>
      </c>
      <c r="I9" t="s">
        <v>85</v>
      </c>
    </row>
    <row r="10" spans="1:9" x14ac:dyDescent="0.3">
      <c r="A10" t="s">
        <v>72</v>
      </c>
      <c r="B10" t="s">
        <v>86</v>
      </c>
      <c r="C10" t="s">
        <v>87</v>
      </c>
      <c r="D10" s="3">
        <v>1</v>
      </c>
      <c r="E10" s="3">
        <v>300000</v>
      </c>
      <c r="F10" s="3">
        <f t="shared" si="0"/>
        <v>300000</v>
      </c>
      <c r="G10" t="s">
        <v>8</v>
      </c>
      <c r="H10" t="s">
        <v>69</v>
      </c>
      <c r="I10" t="s">
        <v>88</v>
      </c>
    </row>
    <row r="11" spans="1:9" x14ac:dyDescent="0.3">
      <c r="A11" t="s">
        <v>72</v>
      </c>
      <c r="B11" t="s">
        <v>89</v>
      </c>
      <c r="C11" t="s">
        <v>90</v>
      </c>
      <c r="D11" s="3">
        <v>30</v>
      </c>
      <c r="E11" s="3">
        <v>60000</v>
      </c>
      <c r="F11" s="3">
        <f t="shared" si="0"/>
        <v>1800000</v>
      </c>
      <c r="G11" t="s">
        <v>8</v>
      </c>
      <c r="H11" t="s">
        <v>69</v>
      </c>
      <c r="I11" t="s">
        <v>91</v>
      </c>
    </row>
    <row r="12" spans="1:9" x14ac:dyDescent="0.3">
      <c r="A12" t="s">
        <v>72</v>
      </c>
      <c r="B12" t="s">
        <v>92</v>
      </c>
      <c r="C12" t="s">
        <v>93</v>
      </c>
      <c r="D12" s="3">
        <v>1</v>
      </c>
      <c r="E12" s="3">
        <v>190650</v>
      </c>
      <c r="F12" s="3">
        <f t="shared" si="0"/>
        <v>190650</v>
      </c>
      <c r="G12" t="s">
        <v>14</v>
      </c>
      <c r="H12" s="7" t="s">
        <v>94</v>
      </c>
      <c r="I12" t="s">
        <v>95</v>
      </c>
    </row>
    <row r="13" spans="1:9" x14ac:dyDescent="0.3">
      <c r="A13" t="s">
        <v>72</v>
      </c>
      <c r="B13" t="s">
        <v>96</v>
      </c>
      <c r="C13" t="s">
        <v>97</v>
      </c>
      <c r="D13" s="3">
        <v>1</v>
      </c>
      <c r="E13" s="3">
        <v>19000</v>
      </c>
      <c r="F13" s="3">
        <f t="shared" si="0"/>
        <v>19000</v>
      </c>
      <c r="G13" t="s">
        <v>14</v>
      </c>
      <c r="H13" s="7" t="s">
        <v>94</v>
      </c>
      <c r="I13" t="s">
        <v>98</v>
      </c>
    </row>
    <row r="14" spans="1:9" x14ac:dyDescent="0.3">
      <c r="A14" t="s">
        <v>72</v>
      </c>
      <c r="B14" t="s">
        <v>96</v>
      </c>
      <c r="C14" t="s">
        <v>99</v>
      </c>
      <c r="D14" s="3">
        <v>0</v>
      </c>
      <c r="E14" s="3">
        <v>0</v>
      </c>
      <c r="F14" s="3">
        <f t="shared" si="0"/>
        <v>0</v>
      </c>
      <c r="G14" t="s">
        <v>100</v>
      </c>
      <c r="H14" s="7" t="s">
        <v>101</v>
      </c>
      <c r="I14" t="s">
        <v>102</v>
      </c>
    </row>
    <row r="15" spans="1:9" x14ac:dyDescent="0.3">
      <c r="A15" t="s">
        <v>103</v>
      </c>
      <c r="B15" t="s">
        <v>104</v>
      </c>
      <c r="C15" t="s">
        <v>105</v>
      </c>
      <c r="D15" s="3">
        <v>1</v>
      </c>
      <c r="E15" s="3">
        <v>440000</v>
      </c>
      <c r="F15" s="3">
        <f t="shared" si="0"/>
        <v>440000</v>
      </c>
      <c r="G15" t="s">
        <v>14</v>
      </c>
      <c r="H15" t="s">
        <v>75</v>
      </c>
      <c r="I15" t="s">
        <v>106</v>
      </c>
    </row>
    <row r="16" spans="1:9" x14ac:dyDescent="0.3">
      <c r="A16" t="s">
        <v>103</v>
      </c>
      <c r="B16" t="s">
        <v>104</v>
      </c>
      <c r="C16" t="s">
        <v>107</v>
      </c>
      <c r="D16" s="3">
        <v>1</v>
      </c>
      <c r="E16" s="3">
        <v>99000</v>
      </c>
      <c r="F16" s="3">
        <f t="shared" si="0"/>
        <v>99000</v>
      </c>
      <c r="G16" t="s">
        <v>14</v>
      </c>
      <c r="H16" t="s">
        <v>75</v>
      </c>
      <c r="I16" t="s">
        <v>108</v>
      </c>
    </row>
    <row r="17" spans="1:9" x14ac:dyDescent="0.3">
      <c r="A17" t="s">
        <v>103</v>
      </c>
      <c r="B17" t="s">
        <v>109</v>
      </c>
      <c r="C17" t="s">
        <v>110</v>
      </c>
      <c r="D17" s="3">
        <v>18</v>
      </c>
      <c r="E17" s="3">
        <v>30000</v>
      </c>
      <c r="F17" s="3">
        <f t="shared" si="0"/>
        <v>540000</v>
      </c>
      <c r="G17" t="s">
        <v>8</v>
      </c>
      <c r="H17" t="s">
        <v>69</v>
      </c>
      <c r="I17" t="s">
        <v>111</v>
      </c>
    </row>
    <row r="18" spans="1:9" x14ac:dyDescent="0.3">
      <c r="A18" t="s">
        <v>103</v>
      </c>
      <c r="B18" t="s">
        <v>112</v>
      </c>
      <c r="C18" t="s">
        <v>113</v>
      </c>
      <c r="D18" s="3">
        <v>1</v>
      </c>
      <c r="E18" s="3">
        <v>909130</v>
      </c>
      <c r="F18" s="3">
        <f t="shared" si="0"/>
        <v>909130</v>
      </c>
      <c r="G18" t="s">
        <v>14</v>
      </c>
      <c r="H18" t="s">
        <v>114</v>
      </c>
      <c r="I18" t="s">
        <v>115</v>
      </c>
    </row>
    <row r="19" spans="1:9" x14ac:dyDescent="0.3">
      <c r="A19" t="s">
        <v>103</v>
      </c>
      <c r="B19" t="s">
        <v>112</v>
      </c>
      <c r="C19" t="s">
        <v>116</v>
      </c>
      <c r="D19" s="3">
        <v>1</v>
      </c>
      <c r="E19" s="3">
        <v>1383000</v>
      </c>
      <c r="F19" s="3">
        <f t="shared" si="0"/>
        <v>1383000</v>
      </c>
      <c r="G19" t="s">
        <v>8</v>
      </c>
      <c r="H19" t="s">
        <v>114</v>
      </c>
      <c r="I19" t="s">
        <v>117</v>
      </c>
    </row>
    <row r="20" spans="1:9" x14ac:dyDescent="0.3">
      <c r="A20" t="s">
        <v>118</v>
      </c>
      <c r="B20" t="s">
        <v>119</v>
      </c>
      <c r="C20" t="s">
        <v>120</v>
      </c>
      <c r="D20" s="3">
        <v>1</v>
      </c>
      <c r="E20" s="3">
        <v>2431000</v>
      </c>
      <c r="F20" s="3">
        <f t="shared" si="0"/>
        <v>2431000</v>
      </c>
      <c r="G20" t="s">
        <v>11</v>
      </c>
      <c r="H20" t="s">
        <v>75</v>
      </c>
      <c r="I20" t="s">
        <v>121</v>
      </c>
    </row>
    <row r="21" spans="1:9" x14ac:dyDescent="0.3">
      <c r="A21" t="s">
        <v>118</v>
      </c>
      <c r="B21" t="s">
        <v>109</v>
      </c>
      <c r="C21" t="s">
        <v>110</v>
      </c>
      <c r="D21" s="3">
        <v>8</v>
      </c>
      <c r="E21" s="3">
        <v>30000</v>
      </c>
      <c r="F21" s="3">
        <f t="shared" si="0"/>
        <v>240000</v>
      </c>
      <c r="G21" t="s">
        <v>8</v>
      </c>
      <c r="H21" t="s">
        <v>69</v>
      </c>
      <c r="I21" t="s">
        <v>122</v>
      </c>
    </row>
    <row r="22" spans="1:9" x14ac:dyDescent="0.3">
      <c r="A22" t="s">
        <v>118</v>
      </c>
      <c r="B22" t="s">
        <v>123</v>
      </c>
      <c r="C22" t="s">
        <v>124</v>
      </c>
      <c r="D22" s="3">
        <v>1</v>
      </c>
      <c r="E22" s="3">
        <v>100000</v>
      </c>
      <c r="F22" s="3">
        <f t="shared" si="0"/>
        <v>100000</v>
      </c>
      <c r="G22" t="s">
        <v>14</v>
      </c>
      <c r="H22" s="7" t="s">
        <v>94</v>
      </c>
      <c r="I22" t="s">
        <v>125</v>
      </c>
    </row>
    <row r="23" spans="1:9" x14ac:dyDescent="0.3">
      <c r="A23" t="s">
        <v>126</v>
      </c>
      <c r="B23" t="s">
        <v>127</v>
      </c>
      <c r="C23" t="s">
        <v>128</v>
      </c>
      <c r="D23" s="3">
        <v>1</v>
      </c>
      <c r="E23" s="3">
        <v>246840</v>
      </c>
      <c r="F23" s="3">
        <f t="shared" si="0"/>
        <v>246840</v>
      </c>
      <c r="G23" t="s">
        <v>14</v>
      </c>
      <c r="H23" s="7" t="s">
        <v>94</v>
      </c>
      <c r="I23" t="s">
        <v>129</v>
      </c>
    </row>
    <row r="24" spans="1:9" x14ac:dyDescent="0.3">
      <c r="A24" t="s">
        <v>126</v>
      </c>
      <c r="B24" t="s">
        <v>127</v>
      </c>
      <c r="C24" t="s">
        <v>130</v>
      </c>
      <c r="D24" s="3">
        <v>1</v>
      </c>
      <c r="E24" s="3">
        <v>302900</v>
      </c>
      <c r="F24" s="3">
        <f t="shared" si="0"/>
        <v>302900</v>
      </c>
      <c r="G24" t="s">
        <v>14</v>
      </c>
      <c r="H24" s="7" t="s">
        <v>94</v>
      </c>
      <c r="I24" t="s">
        <v>131</v>
      </c>
    </row>
    <row r="25" spans="1:9" x14ac:dyDescent="0.3">
      <c r="A25" t="s">
        <v>126</v>
      </c>
      <c r="B25" t="s">
        <v>127</v>
      </c>
      <c r="C25" t="s">
        <v>132</v>
      </c>
      <c r="D25" s="3">
        <v>1</v>
      </c>
      <c r="E25" s="3">
        <v>85195</v>
      </c>
      <c r="F25" s="3">
        <f t="shared" si="0"/>
        <v>85195</v>
      </c>
      <c r="G25" t="s">
        <v>14</v>
      </c>
      <c r="H25" s="7" t="s">
        <v>94</v>
      </c>
    </row>
    <row r="26" spans="1:9" x14ac:dyDescent="0.3">
      <c r="A26" t="s">
        <v>126</v>
      </c>
      <c r="B26" t="s">
        <v>133</v>
      </c>
      <c r="C26" t="s">
        <v>134</v>
      </c>
      <c r="D26" s="3">
        <v>1</v>
      </c>
      <c r="E26" s="3">
        <v>359000</v>
      </c>
      <c r="F26" s="3">
        <f t="shared" si="0"/>
        <v>359000</v>
      </c>
      <c r="G26" t="s">
        <v>8</v>
      </c>
      <c r="H26" s="7" t="s">
        <v>94</v>
      </c>
      <c r="I26" t="s">
        <v>135</v>
      </c>
    </row>
    <row r="27" spans="1:9" x14ac:dyDescent="0.3">
      <c r="A27" t="s">
        <v>126</v>
      </c>
      <c r="B27" t="s">
        <v>109</v>
      </c>
      <c r="C27" t="s">
        <v>110</v>
      </c>
      <c r="D27" s="3">
        <v>8</v>
      </c>
      <c r="E27" s="3">
        <v>30000</v>
      </c>
      <c r="F27" s="3">
        <f t="shared" si="0"/>
        <v>240000</v>
      </c>
      <c r="G27" t="s">
        <v>8</v>
      </c>
      <c r="H27" t="s">
        <v>69</v>
      </c>
      <c r="I27" t="s">
        <v>122</v>
      </c>
    </row>
    <row r="28" spans="1:9" x14ac:dyDescent="0.3">
      <c r="A28" t="s">
        <v>126</v>
      </c>
      <c r="B28" t="s">
        <v>96</v>
      </c>
      <c r="C28" t="s">
        <v>136</v>
      </c>
      <c r="D28" s="3">
        <v>1</v>
      </c>
      <c r="E28" s="3">
        <v>138500</v>
      </c>
      <c r="F28" s="3">
        <f t="shared" si="0"/>
        <v>138500</v>
      </c>
      <c r="G28" t="s">
        <v>8</v>
      </c>
      <c r="H28" s="7" t="s">
        <v>94</v>
      </c>
      <c r="I28" t="s">
        <v>137</v>
      </c>
    </row>
    <row r="29" spans="1:9" x14ac:dyDescent="0.3">
      <c r="A29" t="s">
        <v>126</v>
      </c>
      <c r="B29" t="s">
        <v>127</v>
      </c>
      <c r="C29" t="s">
        <v>138</v>
      </c>
      <c r="D29" s="3">
        <v>1</v>
      </c>
      <c r="E29" s="3">
        <v>433460</v>
      </c>
      <c r="F29" s="3">
        <f t="shared" si="0"/>
        <v>433460</v>
      </c>
      <c r="G29" t="s">
        <v>8</v>
      </c>
      <c r="H29" t="s">
        <v>114</v>
      </c>
      <c r="I29" t="s">
        <v>139</v>
      </c>
    </row>
    <row r="30" spans="1:9" x14ac:dyDescent="0.3">
      <c r="A30" t="s">
        <v>140</v>
      </c>
      <c r="B30" t="s">
        <v>109</v>
      </c>
      <c r="C30" t="s">
        <v>110</v>
      </c>
      <c r="D30" s="3">
        <v>10</v>
      </c>
      <c r="E30" s="3">
        <v>30000</v>
      </c>
      <c r="F30" s="3">
        <f t="shared" si="0"/>
        <v>300000</v>
      </c>
      <c r="G30" t="s">
        <v>8</v>
      </c>
      <c r="H30" t="s">
        <v>69</v>
      </c>
      <c r="I30" t="s">
        <v>141</v>
      </c>
    </row>
    <row r="31" spans="1:9" x14ac:dyDescent="0.3">
      <c r="A31" t="s">
        <v>140</v>
      </c>
      <c r="B31" t="s">
        <v>142</v>
      </c>
      <c r="C31" t="s">
        <v>143</v>
      </c>
      <c r="D31" s="3">
        <v>1</v>
      </c>
      <c r="E31" s="3">
        <v>120000</v>
      </c>
      <c r="F31" s="3">
        <f t="shared" si="0"/>
        <v>120000</v>
      </c>
      <c r="G31" t="s">
        <v>14</v>
      </c>
      <c r="H31" s="7" t="s">
        <v>94</v>
      </c>
      <c r="I31" t="s">
        <v>144</v>
      </c>
    </row>
    <row r="32" spans="1:9" x14ac:dyDescent="0.3">
      <c r="A32" t="s">
        <v>145</v>
      </c>
      <c r="B32" t="s">
        <v>109</v>
      </c>
      <c r="C32" t="s">
        <v>146</v>
      </c>
      <c r="D32" s="3">
        <v>1</v>
      </c>
      <c r="E32" s="3">
        <v>118800</v>
      </c>
      <c r="F32" s="3">
        <f t="shared" si="0"/>
        <v>118800</v>
      </c>
      <c r="G32" t="s">
        <v>8</v>
      </c>
      <c r="H32" s="7" t="s">
        <v>94</v>
      </c>
      <c r="I32" t="s">
        <v>147</v>
      </c>
    </row>
    <row r="33" spans="1:9" x14ac:dyDescent="0.3">
      <c r="A33" t="s">
        <v>145</v>
      </c>
      <c r="B33" t="s">
        <v>109</v>
      </c>
      <c r="C33" t="s">
        <v>110</v>
      </c>
      <c r="D33" s="3">
        <v>2</v>
      </c>
      <c r="E33" s="3">
        <v>30000</v>
      </c>
      <c r="F33" s="3">
        <f t="shared" si="0"/>
        <v>60000</v>
      </c>
      <c r="G33" t="s">
        <v>8</v>
      </c>
      <c r="H33" t="s">
        <v>69</v>
      </c>
      <c r="I33" t="s">
        <v>148</v>
      </c>
    </row>
    <row r="35" spans="1:9" x14ac:dyDescent="0.3">
      <c r="A35" s="4" t="s">
        <v>35</v>
      </c>
      <c r="F35" s="5">
        <f>SUM(F5:F33)</f>
        <v>12445065</v>
      </c>
    </row>
    <row r="37" spans="1:9" x14ac:dyDescent="0.3">
      <c r="A37" s="8" t="s">
        <v>149</v>
      </c>
    </row>
    <row r="38" spans="1:9" ht="49.5" x14ac:dyDescent="0.3">
      <c r="A38" s="2" t="s">
        <v>65</v>
      </c>
      <c r="B38" s="2" t="s">
        <v>150</v>
      </c>
      <c r="C38" s="2" t="s">
        <v>8</v>
      </c>
      <c r="D38" s="2" t="s">
        <v>11</v>
      </c>
      <c r="E38" s="2" t="s">
        <v>14</v>
      </c>
      <c r="F38" s="2" t="s">
        <v>151</v>
      </c>
      <c r="G38" s="2" t="s">
        <v>21</v>
      </c>
    </row>
    <row r="39" spans="1:9" x14ac:dyDescent="0.3">
      <c r="A39" t="s">
        <v>72</v>
      </c>
      <c r="B39" s="3">
        <f t="shared" ref="B39:B44" si="1">SUMIF($A$5:$A$33,A39,$F$5:$F$33)</f>
        <v>3898240</v>
      </c>
      <c r="C39" s="3">
        <f t="shared" ref="C39:C44" si="2">SUMIFS($F$5:$F$33,$A$5:$A$33,A39,$G$5:$G$33,"학생회비")</f>
        <v>3584850</v>
      </c>
      <c r="D39" s="3">
        <f t="shared" ref="D39:D44" si="3">SUMIFS($F$5:$F$33,$A$5:$A$33,A39,$G$5:$G$33,"성과전시지원비")</f>
        <v>0</v>
      </c>
      <c r="E39" s="3">
        <f t="shared" ref="E39:E44" si="4">SUMIFS($F$5:$F$33,$A$5:$A$33,A39,$G$5:$G$33,"전시지원비")</f>
        <v>313390</v>
      </c>
      <c r="F39" s="3">
        <v>1859970</v>
      </c>
    </row>
    <row r="40" spans="1:9" x14ac:dyDescent="0.3">
      <c r="A40" t="s">
        <v>103</v>
      </c>
      <c r="B40" s="3">
        <f t="shared" si="1"/>
        <v>3371130</v>
      </c>
      <c r="C40" s="3">
        <f t="shared" si="2"/>
        <v>1923000</v>
      </c>
      <c r="D40" s="3">
        <f t="shared" si="3"/>
        <v>0</v>
      </c>
      <c r="E40" s="3">
        <f t="shared" si="4"/>
        <v>1448130</v>
      </c>
      <c r="F40" s="3">
        <v>9106560</v>
      </c>
      <c r="G40" t="s">
        <v>152</v>
      </c>
    </row>
    <row r="41" spans="1:9" x14ac:dyDescent="0.3">
      <c r="A41" t="s">
        <v>118</v>
      </c>
      <c r="B41" s="3">
        <f t="shared" si="1"/>
        <v>2771000</v>
      </c>
      <c r="C41" s="3">
        <f t="shared" si="2"/>
        <v>240000</v>
      </c>
      <c r="D41" s="3">
        <f t="shared" si="3"/>
        <v>2431000</v>
      </c>
      <c r="E41" s="3">
        <f t="shared" si="4"/>
        <v>100000</v>
      </c>
      <c r="F41" s="3">
        <v>2273600</v>
      </c>
      <c r="G41" t="s">
        <v>153</v>
      </c>
    </row>
    <row r="42" spans="1:9" x14ac:dyDescent="0.3">
      <c r="A42" t="s">
        <v>126</v>
      </c>
      <c r="B42" s="3">
        <f t="shared" si="1"/>
        <v>1805895</v>
      </c>
      <c r="C42" s="3">
        <f t="shared" si="2"/>
        <v>1170960</v>
      </c>
      <c r="D42" s="3">
        <f t="shared" si="3"/>
        <v>0</v>
      </c>
      <c r="E42" s="3">
        <f t="shared" si="4"/>
        <v>634935</v>
      </c>
      <c r="F42" s="3">
        <v>1836115</v>
      </c>
      <c r="G42" t="s">
        <v>154</v>
      </c>
    </row>
    <row r="43" spans="1:9" x14ac:dyDescent="0.3">
      <c r="A43" t="s">
        <v>140</v>
      </c>
      <c r="B43" s="3">
        <f t="shared" si="1"/>
        <v>420000</v>
      </c>
      <c r="C43" s="3">
        <f t="shared" si="2"/>
        <v>300000</v>
      </c>
      <c r="D43" s="3">
        <f t="shared" si="3"/>
        <v>0</v>
      </c>
      <c r="E43" s="3">
        <f t="shared" si="4"/>
        <v>120000</v>
      </c>
      <c r="F43" s="3">
        <v>180000</v>
      </c>
    </row>
    <row r="44" spans="1:9" x14ac:dyDescent="0.3">
      <c r="A44" t="s">
        <v>145</v>
      </c>
      <c r="B44" s="3">
        <f t="shared" si="1"/>
        <v>178800</v>
      </c>
      <c r="C44" s="3">
        <f t="shared" si="2"/>
        <v>178800</v>
      </c>
      <c r="D44" s="3">
        <f t="shared" si="3"/>
        <v>0</v>
      </c>
      <c r="E44" s="3">
        <f t="shared" si="4"/>
        <v>0</v>
      </c>
      <c r="F44" s="3">
        <v>158800</v>
      </c>
    </row>
    <row r="45" spans="1:9" x14ac:dyDescent="0.3">
      <c r="A45" s="4" t="s">
        <v>35</v>
      </c>
      <c r="B45" s="5">
        <f>SUM(B39:B44)</f>
        <v>12445065</v>
      </c>
      <c r="C45" s="5">
        <f>SUM(C39:C44)</f>
        <v>7397610</v>
      </c>
      <c r="D45" s="5">
        <f>SUM(D39:D44)</f>
        <v>2431000</v>
      </c>
      <c r="E45" s="5">
        <f>SUM(E39:E44)</f>
        <v>2616455</v>
      </c>
      <c r="F45" s="5">
        <f>SUM(F39:F44)</f>
        <v>15415045</v>
      </c>
    </row>
    <row r="46" spans="1:9" x14ac:dyDescent="0.3">
      <c r="A46" t="s">
        <v>155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7"/>
  <sheetViews>
    <sheetView showGridLines="0" workbookViewId="0"/>
  </sheetViews>
  <sheetFormatPr defaultRowHeight="16.5" x14ac:dyDescent="0.3"/>
  <cols>
    <col min="1" max="1" width="30" customWidth="1"/>
    <col min="2" max="2" width="14" customWidth="1"/>
    <col min="3" max="3" width="22" customWidth="1"/>
    <col min="4" max="5" width="16" customWidth="1"/>
    <col min="6" max="6" width="22" customWidth="1"/>
    <col min="7" max="7" width="12" customWidth="1"/>
    <col min="8" max="8" width="18" customWidth="1"/>
  </cols>
  <sheetData>
    <row r="1" spans="1:7" ht="20.25" x14ac:dyDescent="0.35">
      <c r="A1" s="1" t="s">
        <v>156</v>
      </c>
    </row>
    <row r="2" spans="1:7" x14ac:dyDescent="0.3">
      <c r="A2" t="s">
        <v>157</v>
      </c>
    </row>
    <row r="4" spans="1:7" x14ac:dyDescent="0.3">
      <c r="A4" t="s">
        <v>158</v>
      </c>
      <c r="B4" s="3">
        <v>120000</v>
      </c>
    </row>
    <row r="5" spans="1:7" x14ac:dyDescent="0.3">
      <c r="A5" t="s">
        <v>159</v>
      </c>
      <c r="B5" s="6">
        <v>50000</v>
      </c>
      <c r="C5" t="s">
        <v>160</v>
      </c>
    </row>
    <row r="8" spans="1:7" ht="33" x14ac:dyDescent="0.3">
      <c r="A8" s="2" t="s">
        <v>161</v>
      </c>
      <c r="B8" s="2" t="s">
        <v>162</v>
      </c>
      <c r="C8" s="2" t="s">
        <v>163</v>
      </c>
      <c r="D8" s="2" t="s">
        <v>164</v>
      </c>
      <c r="E8" s="2" t="s">
        <v>165</v>
      </c>
      <c r="F8" s="2" t="s">
        <v>166</v>
      </c>
      <c r="G8" s="2" t="s">
        <v>167</v>
      </c>
    </row>
    <row r="9" spans="1:7" x14ac:dyDescent="0.3">
      <c r="A9" s="3">
        <v>6</v>
      </c>
      <c r="B9" s="3">
        <v>9</v>
      </c>
      <c r="C9" s="3">
        <f>A9*B9</f>
        <v>54</v>
      </c>
      <c r="D9" s="3">
        <f>A9*$B$4</f>
        <v>720000</v>
      </c>
      <c r="E9" s="3">
        <f>A9*$B$5</f>
        <v>300000</v>
      </c>
      <c r="F9" s="3">
        <f>D9-E9</f>
        <v>420000</v>
      </c>
      <c r="G9" s="3">
        <f>F9/A9</f>
        <v>70000</v>
      </c>
    </row>
    <row r="10" spans="1:7" x14ac:dyDescent="0.3">
      <c r="A10" s="3">
        <v>7</v>
      </c>
      <c r="B10" s="3">
        <v>5</v>
      </c>
      <c r="C10" s="3">
        <f>A10*B10</f>
        <v>35</v>
      </c>
      <c r="D10" s="3">
        <f>A10*$B$4</f>
        <v>840000</v>
      </c>
      <c r="E10" s="3">
        <f>A10*$B$5</f>
        <v>350000</v>
      </c>
      <c r="F10" s="3">
        <f>D10-E10</f>
        <v>490000</v>
      </c>
      <c r="G10" s="3">
        <f>F10/A10</f>
        <v>70000</v>
      </c>
    </row>
    <row r="11" spans="1:7" x14ac:dyDescent="0.3">
      <c r="A11" s="3">
        <v>8</v>
      </c>
      <c r="B11" s="3">
        <v>3</v>
      </c>
      <c r="C11" s="3">
        <f>A11*B11</f>
        <v>24</v>
      </c>
      <c r="D11" s="3">
        <f>A11*$B$4</f>
        <v>960000</v>
      </c>
      <c r="E11" s="3">
        <f>A11*$B$5</f>
        <v>400000</v>
      </c>
      <c r="F11" s="3">
        <f>D11-E11</f>
        <v>560000</v>
      </c>
      <c r="G11" s="3">
        <f>F11/A11</f>
        <v>70000</v>
      </c>
    </row>
    <row r="12" spans="1:7" x14ac:dyDescent="0.3">
      <c r="A12" s="4" t="s">
        <v>35</v>
      </c>
      <c r="B12" s="5">
        <f>SUM(B9:B11)</f>
        <v>17</v>
      </c>
      <c r="C12" s="5">
        <f>SUM(C9:C11)</f>
        <v>113</v>
      </c>
      <c r="D12" s="5">
        <f>SUMPRODUCT(D9:D11,B9:B11)</f>
        <v>13560000</v>
      </c>
      <c r="E12" s="5">
        <f>SUMPRODUCT(E9:E11,B9:B11)</f>
        <v>5650000</v>
      </c>
      <c r="F12" s="5">
        <f>SUMPRODUCT(F9:F11,B9:B11)</f>
        <v>7910000</v>
      </c>
    </row>
    <row r="13" spans="1:7" x14ac:dyDescent="0.3">
      <c r="A13" t="s">
        <v>168</v>
      </c>
    </row>
    <row r="15" spans="1:7" x14ac:dyDescent="0.3">
      <c r="A15" s="2" t="s">
        <v>169</v>
      </c>
      <c r="B15" s="2" t="s">
        <v>170</v>
      </c>
      <c r="C15" s="2" t="s">
        <v>171</v>
      </c>
      <c r="D15" s="2" t="s">
        <v>57</v>
      </c>
      <c r="E15" s="2" t="s">
        <v>172</v>
      </c>
      <c r="F15" s="2" t="s">
        <v>165</v>
      </c>
      <c r="G15" s="2" t="s">
        <v>173</v>
      </c>
    </row>
    <row r="16" spans="1:7" x14ac:dyDescent="0.3">
      <c r="A16" s="3">
        <v>1</v>
      </c>
      <c r="B16" t="s">
        <v>174</v>
      </c>
      <c r="C16" t="s">
        <v>175</v>
      </c>
      <c r="D16" s="3">
        <v>8</v>
      </c>
      <c r="E16" s="3">
        <f t="shared" ref="E16:E32" si="0">D16*$B$4</f>
        <v>960000</v>
      </c>
      <c r="F16" s="3">
        <f t="shared" ref="F16:F32" si="1">D16*$B$5</f>
        <v>400000</v>
      </c>
      <c r="G16" s="3">
        <f t="shared" ref="G16:G32" si="2">E16-F16</f>
        <v>560000</v>
      </c>
    </row>
    <row r="17" spans="1:7" x14ac:dyDescent="0.3">
      <c r="A17" s="3">
        <v>2</v>
      </c>
      <c r="B17" t="s">
        <v>176</v>
      </c>
      <c r="C17" t="s">
        <v>177</v>
      </c>
      <c r="D17" s="3">
        <v>6</v>
      </c>
      <c r="E17" s="3">
        <f t="shared" si="0"/>
        <v>720000</v>
      </c>
      <c r="F17" s="3">
        <f t="shared" si="1"/>
        <v>300000</v>
      </c>
      <c r="G17" s="3">
        <f t="shared" si="2"/>
        <v>420000</v>
      </c>
    </row>
    <row r="18" spans="1:7" x14ac:dyDescent="0.3">
      <c r="A18" s="3">
        <v>3</v>
      </c>
      <c r="B18" t="s">
        <v>178</v>
      </c>
      <c r="C18" t="s">
        <v>177</v>
      </c>
      <c r="D18" s="3">
        <v>6</v>
      </c>
      <c r="E18" s="3">
        <f t="shared" si="0"/>
        <v>720000</v>
      </c>
      <c r="F18" s="3">
        <f t="shared" si="1"/>
        <v>300000</v>
      </c>
      <c r="G18" s="3">
        <f t="shared" si="2"/>
        <v>420000</v>
      </c>
    </row>
    <row r="19" spans="1:7" x14ac:dyDescent="0.3">
      <c r="A19" s="3">
        <v>4</v>
      </c>
      <c r="B19" t="s">
        <v>179</v>
      </c>
      <c r="C19" t="s">
        <v>177</v>
      </c>
      <c r="D19" s="3">
        <v>6</v>
      </c>
      <c r="E19" s="3">
        <f t="shared" si="0"/>
        <v>720000</v>
      </c>
      <c r="F19" s="3">
        <f t="shared" si="1"/>
        <v>300000</v>
      </c>
      <c r="G19" s="3">
        <f t="shared" si="2"/>
        <v>420000</v>
      </c>
    </row>
    <row r="20" spans="1:7" x14ac:dyDescent="0.3">
      <c r="A20" s="3">
        <v>5</v>
      </c>
      <c r="B20" t="s">
        <v>180</v>
      </c>
      <c r="C20" t="s">
        <v>177</v>
      </c>
      <c r="D20" s="3">
        <v>6</v>
      </c>
      <c r="E20" s="3">
        <f t="shared" si="0"/>
        <v>720000</v>
      </c>
      <c r="F20" s="3">
        <f t="shared" si="1"/>
        <v>300000</v>
      </c>
      <c r="G20" s="3">
        <f t="shared" si="2"/>
        <v>420000</v>
      </c>
    </row>
    <row r="21" spans="1:7" x14ac:dyDescent="0.3">
      <c r="A21" s="3">
        <v>6</v>
      </c>
      <c r="B21" t="s">
        <v>181</v>
      </c>
      <c r="C21" t="s">
        <v>177</v>
      </c>
      <c r="D21" s="3">
        <v>7</v>
      </c>
      <c r="E21" s="3">
        <f t="shared" si="0"/>
        <v>840000</v>
      </c>
      <c r="F21" s="3">
        <f t="shared" si="1"/>
        <v>350000</v>
      </c>
      <c r="G21" s="3">
        <f t="shared" si="2"/>
        <v>490000</v>
      </c>
    </row>
    <row r="22" spans="1:7" x14ac:dyDescent="0.3">
      <c r="A22" s="3">
        <v>7</v>
      </c>
      <c r="B22" t="s">
        <v>182</v>
      </c>
      <c r="C22" t="s">
        <v>177</v>
      </c>
      <c r="D22" s="3">
        <v>6</v>
      </c>
      <c r="E22" s="3">
        <f t="shared" si="0"/>
        <v>720000</v>
      </c>
      <c r="F22" s="3">
        <f t="shared" si="1"/>
        <v>300000</v>
      </c>
      <c r="G22" s="3">
        <f t="shared" si="2"/>
        <v>420000</v>
      </c>
    </row>
    <row r="23" spans="1:7" x14ac:dyDescent="0.3">
      <c r="A23" s="3">
        <v>8</v>
      </c>
      <c r="B23" t="s">
        <v>183</v>
      </c>
      <c r="C23" t="s">
        <v>177</v>
      </c>
      <c r="D23" s="3">
        <v>6</v>
      </c>
      <c r="E23" s="3">
        <f t="shared" si="0"/>
        <v>720000</v>
      </c>
      <c r="F23" s="3">
        <f t="shared" si="1"/>
        <v>300000</v>
      </c>
      <c r="G23" s="3">
        <f t="shared" si="2"/>
        <v>420000</v>
      </c>
    </row>
    <row r="24" spans="1:7" x14ac:dyDescent="0.3">
      <c r="A24" s="3">
        <v>9</v>
      </c>
      <c r="B24" t="s">
        <v>184</v>
      </c>
      <c r="C24" t="s">
        <v>177</v>
      </c>
      <c r="D24" s="3">
        <v>6</v>
      </c>
      <c r="E24" s="3">
        <f t="shared" si="0"/>
        <v>720000</v>
      </c>
      <c r="F24" s="3">
        <f t="shared" si="1"/>
        <v>300000</v>
      </c>
      <c r="G24" s="3">
        <f t="shared" si="2"/>
        <v>420000</v>
      </c>
    </row>
    <row r="25" spans="1:7" x14ac:dyDescent="0.3">
      <c r="A25" s="3">
        <v>10</v>
      </c>
      <c r="B25" t="s">
        <v>185</v>
      </c>
      <c r="C25" t="s">
        <v>177</v>
      </c>
      <c r="D25" s="3">
        <v>6</v>
      </c>
      <c r="E25" s="3">
        <f t="shared" si="0"/>
        <v>720000</v>
      </c>
      <c r="F25" s="3">
        <f t="shared" si="1"/>
        <v>300000</v>
      </c>
      <c r="G25" s="3">
        <f t="shared" si="2"/>
        <v>420000</v>
      </c>
    </row>
    <row r="26" spans="1:7" x14ac:dyDescent="0.3">
      <c r="A26" s="3">
        <v>11</v>
      </c>
      <c r="B26" t="s">
        <v>186</v>
      </c>
      <c r="C26" t="s">
        <v>177</v>
      </c>
      <c r="D26" s="3">
        <v>7</v>
      </c>
      <c r="E26" s="3">
        <f t="shared" si="0"/>
        <v>840000</v>
      </c>
      <c r="F26" s="3">
        <f t="shared" si="1"/>
        <v>350000</v>
      </c>
      <c r="G26" s="3">
        <f t="shared" si="2"/>
        <v>490000</v>
      </c>
    </row>
    <row r="27" spans="1:7" x14ac:dyDescent="0.3">
      <c r="A27" s="3">
        <v>12</v>
      </c>
      <c r="B27" t="s">
        <v>187</v>
      </c>
      <c r="C27" t="s">
        <v>188</v>
      </c>
      <c r="D27" s="3">
        <v>8</v>
      </c>
      <c r="E27" s="3">
        <f t="shared" si="0"/>
        <v>960000</v>
      </c>
      <c r="F27" s="3">
        <f t="shared" si="1"/>
        <v>400000</v>
      </c>
      <c r="G27" s="3">
        <f t="shared" si="2"/>
        <v>560000</v>
      </c>
    </row>
    <row r="28" spans="1:7" x14ac:dyDescent="0.3">
      <c r="A28" s="3">
        <v>13</v>
      </c>
      <c r="B28" t="s">
        <v>189</v>
      </c>
      <c r="C28" t="s">
        <v>188</v>
      </c>
      <c r="D28" s="3">
        <v>7</v>
      </c>
      <c r="E28" s="3">
        <f t="shared" si="0"/>
        <v>840000</v>
      </c>
      <c r="F28" s="3">
        <f t="shared" si="1"/>
        <v>350000</v>
      </c>
      <c r="G28" s="3">
        <f t="shared" si="2"/>
        <v>490000</v>
      </c>
    </row>
    <row r="29" spans="1:7" x14ac:dyDescent="0.3">
      <c r="A29" s="3">
        <v>14</v>
      </c>
      <c r="B29" t="s">
        <v>190</v>
      </c>
      <c r="C29" t="s">
        <v>188</v>
      </c>
      <c r="D29" s="3">
        <v>8</v>
      </c>
      <c r="E29" s="3">
        <f t="shared" si="0"/>
        <v>960000</v>
      </c>
      <c r="F29" s="3">
        <f t="shared" si="1"/>
        <v>400000</v>
      </c>
      <c r="G29" s="3">
        <f t="shared" si="2"/>
        <v>560000</v>
      </c>
    </row>
    <row r="30" spans="1:7" x14ac:dyDescent="0.3">
      <c r="A30" s="3">
        <v>15</v>
      </c>
      <c r="B30" t="s">
        <v>191</v>
      </c>
      <c r="C30" t="s">
        <v>188</v>
      </c>
      <c r="D30" s="3">
        <v>7</v>
      </c>
      <c r="E30" s="3">
        <f t="shared" si="0"/>
        <v>840000</v>
      </c>
      <c r="F30" s="3">
        <f t="shared" si="1"/>
        <v>350000</v>
      </c>
      <c r="G30" s="3">
        <f t="shared" si="2"/>
        <v>490000</v>
      </c>
    </row>
    <row r="31" spans="1:7" x14ac:dyDescent="0.3">
      <c r="A31" s="3">
        <v>16</v>
      </c>
      <c r="B31" t="s">
        <v>192</v>
      </c>
      <c r="C31" t="s">
        <v>193</v>
      </c>
      <c r="D31" s="3">
        <v>6</v>
      </c>
      <c r="E31" s="3">
        <f t="shared" si="0"/>
        <v>720000</v>
      </c>
      <c r="F31" s="3">
        <f t="shared" si="1"/>
        <v>300000</v>
      </c>
      <c r="G31" s="3">
        <f t="shared" si="2"/>
        <v>420000</v>
      </c>
    </row>
    <row r="32" spans="1:7" x14ac:dyDescent="0.3">
      <c r="A32" s="3">
        <v>17</v>
      </c>
      <c r="B32" t="s">
        <v>194</v>
      </c>
      <c r="C32" t="s">
        <v>193</v>
      </c>
      <c r="D32" s="3">
        <v>7</v>
      </c>
      <c r="E32" s="3">
        <f t="shared" si="0"/>
        <v>840000</v>
      </c>
      <c r="F32" s="3">
        <f t="shared" si="1"/>
        <v>350000</v>
      </c>
      <c r="G32" s="3">
        <f t="shared" si="2"/>
        <v>490000</v>
      </c>
    </row>
    <row r="33" spans="1:7" x14ac:dyDescent="0.3">
      <c r="A33" s="4" t="s">
        <v>35</v>
      </c>
      <c r="D33" s="5">
        <f>SUM(D16:D32)</f>
        <v>113</v>
      </c>
      <c r="E33" s="5">
        <f>SUM(E16:E32)</f>
        <v>13560000</v>
      </c>
      <c r="F33" s="5">
        <f>SUM(F16:F32)</f>
        <v>5650000</v>
      </c>
      <c r="G33" s="5">
        <f>SUM(G16:G32)</f>
        <v>7910000</v>
      </c>
    </row>
    <row r="34" spans="1:7" x14ac:dyDescent="0.3">
      <c r="A34" t="s">
        <v>195</v>
      </c>
    </row>
    <row r="37" spans="1:7" x14ac:dyDescent="0.3">
      <c r="A37" s="2" t="s">
        <v>196</v>
      </c>
      <c r="B37" s="2" t="s">
        <v>197</v>
      </c>
      <c r="C37" s="2" t="s">
        <v>21</v>
      </c>
    </row>
    <row r="38" spans="1:7" x14ac:dyDescent="0.3">
      <c r="A38" t="s">
        <v>129</v>
      </c>
      <c r="B38" t="s">
        <v>127</v>
      </c>
      <c r="C38" t="s">
        <v>198</v>
      </c>
    </row>
    <row r="39" spans="1:7" x14ac:dyDescent="0.3">
      <c r="A39" t="s">
        <v>199</v>
      </c>
      <c r="B39" t="s">
        <v>119</v>
      </c>
      <c r="C39" t="s">
        <v>200</v>
      </c>
    </row>
    <row r="41" spans="1:7" ht="33" x14ac:dyDescent="0.3">
      <c r="A41" s="2" t="s">
        <v>201</v>
      </c>
      <c r="B41" s="2" t="s">
        <v>202</v>
      </c>
      <c r="C41" s="2" t="s">
        <v>203</v>
      </c>
      <c r="D41" s="2" t="s">
        <v>21</v>
      </c>
    </row>
    <row r="42" spans="1:7" x14ac:dyDescent="0.3">
      <c r="A42" t="s">
        <v>204</v>
      </c>
      <c r="B42" s="3">
        <v>4620000</v>
      </c>
      <c r="C42" s="3">
        <v>2376000</v>
      </c>
      <c r="D42" t="s">
        <v>205</v>
      </c>
    </row>
    <row r="43" spans="1:7" x14ac:dyDescent="0.3">
      <c r="A43" t="s">
        <v>206</v>
      </c>
      <c r="B43" s="3">
        <v>693000</v>
      </c>
      <c r="C43" s="3">
        <v>693000</v>
      </c>
      <c r="D43" t="s">
        <v>207</v>
      </c>
    </row>
    <row r="44" spans="1:7" x14ac:dyDescent="0.3">
      <c r="A44" t="s">
        <v>208</v>
      </c>
      <c r="B44" s="3">
        <v>150000</v>
      </c>
      <c r="C44" s="3">
        <v>150000</v>
      </c>
    </row>
    <row r="45" spans="1:7" x14ac:dyDescent="0.3">
      <c r="A45" s="4" t="s">
        <v>209</v>
      </c>
      <c r="B45" s="5">
        <f>SUM(B42:B44)</f>
        <v>5463000</v>
      </c>
      <c r="C45" s="5">
        <f>SUM(C42:C44)</f>
        <v>3219000</v>
      </c>
    </row>
    <row r="46" spans="1:7" x14ac:dyDescent="0.3">
      <c r="A46" t="s">
        <v>210</v>
      </c>
      <c r="B46" s="3">
        <f>E12</f>
        <v>5650000</v>
      </c>
      <c r="C46" s="3">
        <f>E12</f>
        <v>5650000</v>
      </c>
    </row>
    <row r="47" spans="1:7" x14ac:dyDescent="0.3">
      <c r="A47" t="s">
        <v>211</v>
      </c>
      <c r="B47" s="3">
        <f>B46-B45</f>
        <v>187000</v>
      </c>
      <c r="C47" s="3">
        <f>C46-C45</f>
        <v>2431000</v>
      </c>
      <c r="D47" t="s">
        <v>212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showGridLines="0" workbookViewId="0"/>
  </sheetViews>
  <sheetFormatPr defaultRowHeight="16.5" x14ac:dyDescent="0.3"/>
  <cols>
    <col min="1" max="1" width="5" customWidth="1"/>
    <col min="2" max="2" width="26" customWidth="1"/>
    <col min="3" max="3" width="80" customWidth="1"/>
    <col min="4" max="4" width="18" customWidth="1"/>
    <col min="5" max="5" width="14" customWidth="1"/>
  </cols>
  <sheetData>
    <row r="1" spans="1:5" ht="20.25" x14ac:dyDescent="0.35">
      <c r="A1" s="1" t="s">
        <v>213</v>
      </c>
    </row>
    <row r="3" spans="1:5" x14ac:dyDescent="0.3">
      <c r="A3" s="2" t="s">
        <v>214</v>
      </c>
      <c r="B3" s="2" t="s">
        <v>67</v>
      </c>
      <c r="C3" s="2" t="s">
        <v>215</v>
      </c>
      <c r="D3" s="2" t="s">
        <v>216</v>
      </c>
      <c r="E3" s="2" t="s">
        <v>217</v>
      </c>
    </row>
    <row r="4" spans="1:5" x14ac:dyDescent="0.3">
      <c r="A4" s="3">
        <v>1</v>
      </c>
      <c r="B4" t="s">
        <v>218</v>
      </c>
      <c r="C4" t="s">
        <v>219</v>
      </c>
      <c r="D4" t="s">
        <v>220</v>
      </c>
      <c r="E4" t="s">
        <v>221</v>
      </c>
    </row>
    <row r="5" spans="1:5" x14ac:dyDescent="0.3">
      <c r="A5" s="3">
        <v>2</v>
      </c>
      <c r="B5" t="s">
        <v>222</v>
      </c>
      <c r="C5" t="s">
        <v>223</v>
      </c>
      <c r="D5" t="s">
        <v>224</v>
      </c>
      <c r="E5" t="s">
        <v>221</v>
      </c>
    </row>
    <row r="6" spans="1:5" x14ac:dyDescent="0.3">
      <c r="A6" s="3">
        <v>3</v>
      </c>
      <c r="B6" t="s">
        <v>225</v>
      </c>
      <c r="C6" t="s">
        <v>226</v>
      </c>
      <c r="D6" t="s">
        <v>220</v>
      </c>
      <c r="E6" t="s">
        <v>221</v>
      </c>
    </row>
    <row r="7" spans="1:5" x14ac:dyDescent="0.3">
      <c r="A7" s="3">
        <v>4</v>
      </c>
      <c r="B7" t="s">
        <v>227</v>
      </c>
      <c r="C7" t="s">
        <v>228</v>
      </c>
      <c r="D7" t="s">
        <v>229</v>
      </c>
      <c r="E7" t="s">
        <v>230</v>
      </c>
    </row>
    <row r="8" spans="1:5" x14ac:dyDescent="0.3">
      <c r="A8" s="3">
        <v>5</v>
      </c>
      <c r="B8" t="s">
        <v>231</v>
      </c>
      <c r="C8" t="s">
        <v>232</v>
      </c>
      <c r="D8" t="s">
        <v>103</v>
      </c>
      <c r="E8" t="s">
        <v>233</v>
      </c>
    </row>
    <row r="9" spans="1:5" x14ac:dyDescent="0.3">
      <c r="A9" s="3">
        <v>6</v>
      </c>
      <c r="B9" t="s">
        <v>234</v>
      </c>
      <c r="C9" t="s">
        <v>235</v>
      </c>
      <c r="D9" t="s">
        <v>236</v>
      </c>
    </row>
    <row r="10" spans="1:5" x14ac:dyDescent="0.3">
      <c r="A10" s="3">
        <v>7</v>
      </c>
      <c r="B10" t="s">
        <v>237</v>
      </c>
      <c r="C10" t="s">
        <v>238</v>
      </c>
      <c r="D10" t="s">
        <v>239</v>
      </c>
    </row>
    <row r="11" spans="1:5" x14ac:dyDescent="0.3">
      <c r="A11" s="3">
        <v>8</v>
      </c>
      <c r="B11" t="s">
        <v>24</v>
      </c>
      <c r="C11" t="s">
        <v>240</v>
      </c>
      <c r="D11" t="s">
        <v>241</v>
      </c>
    </row>
    <row r="12" spans="1:5" x14ac:dyDescent="0.3">
      <c r="A12" s="3">
        <v>9</v>
      </c>
      <c r="B12" t="s">
        <v>242</v>
      </c>
      <c r="C12" t="s">
        <v>243</v>
      </c>
      <c r="D12" t="s">
        <v>244</v>
      </c>
      <c r="E12" t="s">
        <v>245</v>
      </c>
    </row>
    <row r="13" spans="1:5" x14ac:dyDescent="0.3">
      <c r="A13" s="3">
        <v>10</v>
      </c>
      <c r="B13" t="s">
        <v>246</v>
      </c>
      <c r="C13" t="s">
        <v>247</v>
      </c>
      <c r="D13" t="s">
        <v>248</v>
      </c>
      <c r="E13" t="s">
        <v>249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요약</vt:lpstr>
      <vt:lpstr>졸준위예산_항목별</vt:lpstr>
      <vt:lpstr>시제품제작비</vt:lpstr>
      <vt:lpstr>확인필요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기상 유</cp:lastModifiedBy>
  <dcterms:created xsi:type="dcterms:W3CDTF">2026-10-13T01:30:52Z</dcterms:created>
  <dcterms:modified xsi:type="dcterms:W3CDTF">2026-10-13T01:31:00Z</dcterms:modified>
</cp:coreProperties>
</file>