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2025_예산요약" sheetId="1" state="visible" r:id="rId1"/>
    <sheet xmlns:r="http://schemas.openxmlformats.org/officeDocument/2006/relationships" name="2_2025_항목별예산안" sheetId="2" state="visible" r:id="rId2"/>
    <sheet xmlns:r="http://schemas.openxmlformats.org/officeDocument/2006/relationships" name="3_2024_실집행내역" sheetId="3" state="visible" r:id="rId3"/>
    <sheet xmlns:r="http://schemas.openxmlformats.org/officeDocument/2006/relationships" name="4_연도별비교" sheetId="4" state="visible" r:id="rId4"/>
  </sheets>
  <definedNames>
    <definedName name="_xlnm._FilterDatabase" localSheetId="1" hidden="1">'2_2025_항목별예산안'!$A$4:$I$62</definedName>
    <definedName name="_xlnm._FilterDatabase" localSheetId="2" hidden="1">'3_2024_실집행내역'!$A$4:$J$54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yyyy-mm-dd"/>
    <numFmt numFmtId="167" formatCode="0.0%;-0.0%;&quot;-&quot;"/>
  </numFmts>
  <fonts count="11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595959"/>
      <sz val="9"/>
    </font>
    <font>
      <name val="맑은 고딕"/>
      <b val="1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000FF"/>
      <sz val="10"/>
    </font>
    <font>
      <name val="맑은 고딕"/>
      <b val="1"/>
      <sz val="10"/>
    </font>
    <font>
      <name val="맑은 고딕"/>
      <b val="1"/>
      <color rgb="00404040"/>
      <sz val="10"/>
    </font>
    <font>
      <name val="맑은 고딕"/>
      <color rgb="00404040"/>
      <sz val="10"/>
    </font>
    <font>
      <name val="맑은 고딕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164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5" fontId="7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10" fillId="0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67" fontId="7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22" customWidth="1" min="5" max="5"/>
    <col width="9" customWidth="1" min="6" max="6"/>
    <col width="34" customWidth="1" min="7" max="7"/>
  </cols>
  <sheetData>
    <row r="1">
      <c r="A1" s="1" t="inlineStr">
        <is>
          <t>2025 졸업준비위원회 예산 요약</t>
        </is>
      </c>
    </row>
    <row r="2">
      <c r="A2" s="2" t="inlineStr">
        <is>
          <t>출처: 2025_졸업준비위원회_팀 별 예산안.xlsx (총무 작성, 최종 배정표) · 전시 2025.11.21–23</t>
        </is>
      </c>
    </row>
    <row r="4">
      <c r="A4" s="3" t="inlineStr">
        <is>
          <t>① 재원(수입)</t>
        </is>
      </c>
    </row>
    <row r="5">
      <c r="A5" s="4" t="inlineStr">
        <is>
          <t>재원</t>
        </is>
      </c>
      <c r="B5" s="4" t="inlineStr">
        <is>
          <t>금액(원)</t>
        </is>
      </c>
      <c r="C5" s="4" t="inlineStr">
        <is>
          <t>산출 근거</t>
        </is>
      </c>
    </row>
    <row r="6">
      <c r="A6" s="5" t="inlineStr">
        <is>
          <t>학생회비</t>
        </is>
      </c>
      <c r="B6" s="6" t="n">
        <v>7200000</v>
      </c>
      <c r="C6" s="7" t="inlineStr">
        <is>
          <t>인당 60,000원 × 120명 (10/15 확정)</t>
        </is>
      </c>
    </row>
    <row r="7">
      <c r="A7" s="5" t="inlineStr">
        <is>
          <t>전시지원금</t>
        </is>
      </c>
      <c r="B7" s="6" t="n">
        <v>3200000</v>
      </c>
      <c r="C7" s="7" t="inlineStr">
        <is>
          <t>학교·학과 지원 · 전시 설치·가벽·자재 등 사용처 제한</t>
        </is>
      </c>
    </row>
    <row r="8">
      <c r="A8" s="5" t="inlineStr">
        <is>
          <t>성과전시지원금</t>
        </is>
      </c>
      <c r="B8" s="6" t="n">
        <v>2500000</v>
      </c>
      <c r="C8" s="7" t="inlineStr">
        <is>
          <t>학교·학과 지원 · 하드웨어(PC 렌탈)에 전액 배정</t>
        </is>
      </c>
    </row>
    <row r="9">
      <c r="A9" s="8" t="inlineStr">
        <is>
          <t>총 재원</t>
        </is>
      </c>
      <c r="B9" s="9">
        <f>SUM(B6:B8)</f>
        <v/>
      </c>
      <c r="C9" s="10" t="inlineStr"/>
    </row>
    <row r="11">
      <c r="A11" s="3" t="inlineStr">
        <is>
          <t>② 팀별 배정 (예산안 구분별)</t>
        </is>
      </c>
    </row>
    <row r="12">
      <c r="A12" s="4" t="inlineStr">
        <is>
          <t>팀</t>
        </is>
      </c>
      <c r="B12" s="4" t="inlineStr">
        <is>
          <t>학생회비</t>
        </is>
      </c>
      <c r="C12" s="4" t="inlineStr">
        <is>
          <t>전시지원금</t>
        </is>
      </c>
      <c r="D12" s="4" t="inlineStr">
        <is>
          <t>성과전시지원금</t>
        </is>
      </c>
      <c r="E12" s="4" t="inlineStr">
        <is>
          <t>팀별 합계</t>
        </is>
      </c>
      <c r="F12" s="4" t="inlineStr">
        <is>
          <t>비중</t>
        </is>
      </c>
      <c r="G12" s="4" t="inlineStr">
        <is>
          <t>비고</t>
        </is>
      </c>
    </row>
    <row r="13">
      <c r="A13" s="11" t="inlineStr">
        <is>
          <t>브랜딩팀</t>
        </is>
      </c>
      <c r="B13" s="6" t="n">
        <v>1200000</v>
      </c>
      <c r="C13" s="6" t="n">
        <v>700000</v>
      </c>
      <c r="D13" s="6" t="n">
        <v>0</v>
      </c>
      <c r="E13" s="12">
        <f>SUM(B13:D13)</f>
        <v/>
      </c>
      <c r="F13" s="13">
        <f>IFERROR(E13/$E$19,0)</f>
        <v/>
      </c>
      <c r="G13" s="7" t="inlineStr">
        <is>
          <t>홍보팀 포함</t>
        </is>
      </c>
    </row>
    <row r="14">
      <c r="A14" s="11" t="inlineStr">
        <is>
          <t>전시팀</t>
        </is>
      </c>
      <c r="B14" s="6" t="n">
        <v>3760000</v>
      </c>
      <c r="C14" s="6" t="n">
        <v>1781200</v>
      </c>
      <c r="D14" s="6" t="n">
        <v>0</v>
      </c>
      <c r="E14" s="12">
        <f>SUM(B14:D14)</f>
        <v/>
      </c>
      <c r="F14" s="13">
        <f>IFERROR(E14/$E$19,0)</f>
        <v/>
      </c>
      <c r="G14" s="7" t="inlineStr">
        <is>
          <t>가벽·테이블 렌탈 등 최대 배정</t>
        </is>
      </c>
    </row>
    <row r="15">
      <c r="A15" s="11" t="inlineStr">
        <is>
          <t>오프닝팀</t>
        </is>
      </c>
      <c r="B15" s="6" t="n">
        <v>1200000</v>
      </c>
      <c r="C15" s="6" t="n">
        <v>400000</v>
      </c>
      <c r="D15" s="6" t="n">
        <v>0</v>
      </c>
      <c r="E15" s="12">
        <f>SUM(B15:D15)</f>
        <v/>
      </c>
      <c r="F15" s="13">
        <f>IFERROR(E15/$E$19,0)</f>
        <v/>
      </c>
      <c r="G15" s="7" t="inlineStr">
        <is>
          <t>졸업선물(타올) 포함</t>
        </is>
      </c>
    </row>
    <row r="16">
      <c r="A16" s="11" t="inlineStr">
        <is>
          <t>하드웨어팀</t>
        </is>
      </c>
      <c r="B16" s="6" t="n">
        <v>100000</v>
      </c>
      <c r="C16" s="6" t="n">
        <v>0</v>
      </c>
      <c r="D16" s="6" t="n">
        <v>2500000</v>
      </c>
      <c r="E16" s="12">
        <f>SUM(B16:D16)</f>
        <v/>
      </c>
      <c r="F16" s="13">
        <f>IFERROR(E16/$E$19,0)</f>
        <v/>
      </c>
      <c r="G16" s="7" t="inlineStr">
        <is>
          <t>iMac 등 PC 렌탈</t>
        </is>
      </c>
    </row>
    <row r="17">
      <c r="A17" s="11" t="inlineStr">
        <is>
          <t>영상팀</t>
        </is>
      </c>
      <c r="B17" s="6" t="n">
        <v>300000</v>
      </c>
      <c r="C17" s="6" t="n">
        <v>0</v>
      </c>
      <c r="D17" s="6" t="n">
        <v>0</v>
      </c>
      <c r="E17" s="12">
        <f>SUM(B17:D17)</f>
        <v/>
      </c>
      <c r="F17" s="13">
        <f>IFERROR(E17/$E$19,0)</f>
        <v/>
      </c>
      <c r="G17" s="7" t="inlineStr">
        <is>
          <t>DIMO 동아리 · 세부 예산안 파일 없음</t>
        </is>
      </c>
    </row>
    <row r="18">
      <c r="A18" s="11" t="inlineStr">
        <is>
          <t>본부</t>
        </is>
      </c>
      <c r="B18" s="6" t="n">
        <v>440000</v>
      </c>
      <c r="C18" s="6" t="n">
        <v>118800</v>
      </c>
      <c r="D18" s="6" t="n">
        <v>0</v>
      </c>
      <c r="E18" s="12">
        <f>SUM(B18:D18)</f>
        <v/>
      </c>
      <c r="F18" s="13">
        <f>IFERROR(E18/$E$19,0)</f>
        <v/>
      </c>
      <c r="G18" s="7" t="inlineStr">
        <is>
          <t>전시지원금 118,800 = 웹사이트 연장</t>
        </is>
      </c>
    </row>
    <row r="19">
      <c r="A19" s="8" t="inlineStr">
        <is>
          <t>배정 합계</t>
        </is>
      </c>
      <c r="B19" s="9">
        <f>SUM(B13:B18)</f>
        <v/>
      </c>
      <c r="C19" s="9">
        <f>SUM(C13:C18)</f>
        <v/>
      </c>
      <c r="D19" s="9">
        <f>SUM(D13:D18)</f>
        <v/>
      </c>
      <c r="E19" s="9">
        <f>SUM(E13:E18)</f>
        <v/>
      </c>
      <c r="F19" s="14">
        <f>IFERROR(E19/$E$19,0)</f>
        <v/>
      </c>
      <c r="G19" s="10" t="inlineStr"/>
    </row>
    <row r="20">
      <c r="A20" s="15" t="inlineStr">
        <is>
          <t>예비비 (재원 − 배정)</t>
        </is>
      </c>
      <c r="B20" s="16">
        <f>B6-B19</f>
        <v/>
      </c>
      <c r="C20" s="16">
        <f>B7-C19</f>
        <v/>
      </c>
      <c r="D20" s="16">
        <f>B8-D19</f>
        <v/>
      </c>
      <c r="E20" s="16">
        <f>B9-E19</f>
        <v/>
      </c>
      <c r="F20" s="17" t="inlineStr"/>
      <c r="G20" s="17" t="inlineStr"/>
    </row>
    <row r="22">
      <c r="A22" s="3" t="inlineStr">
        <is>
          <t>③ 팀별 배정 vs 세부 예산안(2차) 비교</t>
        </is>
      </c>
    </row>
    <row r="23" ht="42" customHeight="1">
      <c r="A23" s="4" t="inlineStr">
        <is>
          <t>팀</t>
        </is>
      </c>
      <c r="B23" s="4" t="inlineStr">
        <is>
          <t>배정액</t>
        </is>
      </c>
      <c r="C23" s="4" t="inlineStr">
        <is>
          <t>세부 예산안 합계
(졸준위 예산분)</t>
        </is>
      </c>
      <c r="D23" s="4" t="inlineStr">
        <is>
          <t>차이
(배정 − 예산안)</t>
        </is>
      </c>
      <c r="E23" s="4" t="inlineStr">
        <is>
          <t>시제품제작비로 돌린 금액
(졸준위 예산 외)</t>
        </is>
      </c>
    </row>
    <row r="24">
      <c r="A24" s="11" t="inlineStr">
        <is>
          <t>브랜딩팀</t>
        </is>
      </c>
      <c r="B24" s="12">
        <f>E13</f>
        <v/>
      </c>
      <c r="C24" s="12">
        <f>SUMIFS('2_2025_항목별예산안'!$E:$E,'2_2025_항목별예산안'!$A:$A,A24,'2_2025_항목별예산안'!$B:$B,"졸준위 예산")</f>
        <v/>
      </c>
      <c r="D24" s="12">
        <f>B24-C24</f>
        <v/>
      </c>
      <c r="E24" s="12">
        <f>SUMIFS('2_2025_항목별예산안'!$E:$E,'2_2025_항목별예산안'!$A:$A,A24,'2_2025_항목별예산안'!$B:$B,"시제품제작비")</f>
        <v/>
      </c>
    </row>
    <row r="25">
      <c r="A25" s="11" t="inlineStr">
        <is>
          <t>전시팀</t>
        </is>
      </c>
      <c r="B25" s="12">
        <f>E14</f>
        <v/>
      </c>
      <c r="C25" s="12">
        <f>SUMIFS('2_2025_항목별예산안'!$E:$E,'2_2025_항목별예산안'!$A:$A,A25,'2_2025_항목별예산안'!$B:$B,"졸준위 예산")</f>
        <v/>
      </c>
      <c r="D25" s="12">
        <f>B25-C25</f>
        <v/>
      </c>
      <c r="E25" s="12">
        <f>SUMIFS('2_2025_항목별예산안'!$E:$E,'2_2025_항목별예산안'!$A:$A,A25,'2_2025_항목별예산안'!$B:$B,"시제품제작비")</f>
        <v/>
      </c>
    </row>
    <row r="26">
      <c r="A26" s="11" t="inlineStr">
        <is>
          <t>오프닝팀</t>
        </is>
      </c>
      <c r="B26" s="12">
        <f>E15</f>
        <v/>
      </c>
      <c r="C26" s="12">
        <f>SUMIFS('2_2025_항목별예산안'!$E:$E,'2_2025_항목별예산안'!$A:$A,A26,'2_2025_항목별예산안'!$B:$B,"졸준위 예산")</f>
        <v/>
      </c>
      <c r="D26" s="12">
        <f>B26-C26</f>
        <v/>
      </c>
      <c r="E26" s="12">
        <f>SUMIFS('2_2025_항목별예산안'!$E:$E,'2_2025_항목별예산안'!$A:$A,A26,'2_2025_항목별예산안'!$B:$B,"시제품제작비")</f>
        <v/>
      </c>
    </row>
    <row r="27">
      <c r="A27" s="11" t="inlineStr">
        <is>
          <t>하드웨어팀</t>
        </is>
      </c>
      <c r="B27" s="12">
        <f>E16</f>
        <v/>
      </c>
      <c r="C27" s="12">
        <f>SUMIFS('2_2025_항목별예산안'!$E:$E,'2_2025_항목별예산안'!$A:$A,A27,'2_2025_항목별예산안'!$B:$B,"졸준위 예산")</f>
        <v/>
      </c>
      <c r="D27" s="12">
        <f>B27-C27</f>
        <v/>
      </c>
      <c r="E27" s="12">
        <f>SUMIFS('2_2025_항목별예산안'!$E:$E,'2_2025_항목별예산안'!$A:$A,A27,'2_2025_항목별예산안'!$B:$B,"시제품제작비")</f>
        <v/>
      </c>
    </row>
    <row r="28">
      <c r="A28" s="11" t="inlineStr">
        <is>
          <t>영상팀</t>
        </is>
      </c>
      <c r="B28" s="12">
        <f>E17</f>
        <v/>
      </c>
      <c r="C28" s="12">
        <f>SUMIFS('2_2025_항목별예산안'!$E:$E,'2_2025_항목별예산안'!$A:$A,A28,'2_2025_항목별예산안'!$B:$B,"졸준위 예산")</f>
        <v/>
      </c>
      <c r="D28" s="12">
        <f>B28-C28</f>
        <v/>
      </c>
      <c r="E28" s="12">
        <f>SUMIFS('2_2025_항목별예산안'!$E:$E,'2_2025_항목별예산안'!$A:$A,A28,'2_2025_항목별예산안'!$B:$B,"시제품제작비")</f>
        <v/>
      </c>
    </row>
    <row r="29">
      <c r="A29" s="11" t="inlineStr">
        <is>
          <t>본부</t>
        </is>
      </c>
      <c r="B29" s="12">
        <f>E18</f>
        <v/>
      </c>
      <c r="C29" s="12">
        <f>SUMIFS('2_2025_항목별예산안'!$E:$E,'2_2025_항목별예산안'!$A:$A,A29,'2_2025_항목별예산안'!$B:$B,"졸준위 예산")</f>
        <v/>
      </c>
      <c r="D29" s="12">
        <f>B29-C29</f>
        <v/>
      </c>
      <c r="E29" s="12">
        <f>SUMIFS('2_2025_항목별예산안'!$E:$E,'2_2025_항목별예산안'!$A:$A,A29,'2_2025_항목별예산안'!$B:$B,"시제품제작비")</f>
        <v/>
      </c>
    </row>
    <row r="30">
      <c r="A30" s="8" t="inlineStr">
        <is>
          <t>합계</t>
        </is>
      </c>
      <c r="B30" s="9">
        <f>SUM(B24:B29)</f>
        <v/>
      </c>
      <c r="C30" s="9">
        <f>SUM(C24:C29)</f>
        <v/>
      </c>
      <c r="D30" s="9">
        <f>SUM(D24:D29)</f>
        <v/>
      </c>
      <c r="E30" s="9">
        <f>SUM(E24:E29)</f>
        <v/>
      </c>
    </row>
    <row r="32">
      <c r="A32" s="18" t="inlineStr">
        <is>
          <t>※ 참고</t>
        </is>
      </c>
    </row>
    <row r="33">
      <c r="A33" s="19" t="inlineStr">
        <is>
          <t>· 2025년 실제 지출 장부(2025_졸업준비위원회_수입지출내역.xlsx)는 폴더에 원본이 없고 잠금파일(~$)만 남아 있습니다. 팀별 예산안의 '2025_예산내역' 시트도 빈 양식 상태입니다.</t>
        </is>
      </c>
    </row>
    <row r="34">
      <c r="A34" s="19" t="inlineStr">
        <is>
          <t>· 따라서 2025년은 '배정액 + 팀별 2차 예산안(계획)' 기준이며, 실제 결제 금액·영수증은 노션 졸준위 페이지 또는 전임 총무에게 확인이 필요합니다.</t>
        </is>
      </c>
    </row>
    <row r="35">
      <c r="A35" s="19" t="inlineStr">
        <is>
          <t>· 항목별 실제 집행 내역이 남아 있는 가장 최근 자료는 2024년입니다 → 시트 '3_2024_실집행내역' 참고.</t>
        </is>
      </c>
    </row>
    <row r="36">
      <c r="A36" s="19" t="inlineStr">
        <is>
          <t>· 영상팀·하드웨어팀은 세부 예산안 파일이 없어 ③의 차이가 크게 나옵니다 (하드웨어 렌탈 견적은 시트 2 하단 참고).</t>
        </is>
      </c>
    </row>
    <row r="37">
      <c r="A37" s="19" t="inlineStr">
        <is>
          <t>· 파란 글씨 = 원본 파일에서 옮겨 적은 값, 검정 글씨 = 수식.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4" customWidth="1" min="4" max="4"/>
    <col width="13" customWidth="1" min="5" max="5"/>
    <col width="11" customWidth="1" min="6" max="6"/>
    <col width="20" customWidth="1" min="7" max="7"/>
    <col width="36" customWidth="1" min="8" max="8"/>
    <col width="26" customWidth="1" min="9" max="9"/>
  </cols>
  <sheetData>
    <row r="1">
      <c r="A1" s="1" t="inlineStr">
        <is>
          <t>2025 팀별 항목별 예산안 (2차 · 최종 제출본)</t>
        </is>
      </c>
    </row>
    <row r="2">
      <c r="A2" s="2" t="inlineStr">
        <is>
          <t>출처: 2차_예산안_브랜딩팀_1019 / 오프닝팀_1021 / 전시팀_1021, 2025_졸업준비위원회_팀 별 예산안.xlsx · 계획 금액이며 실결제액과 다를 수 있음</t>
        </is>
      </c>
    </row>
    <row r="4">
      <c r="A4" s="4" t="inlineStr">
        <is>
          <t>팀</t>
        </is>
      </c>
      <c r="B4" s="4" t="inlineStr">
        <is>
          <t>재원 구분</t>
        </is>
      </c>
      <c r="C4" s="4" t="inlineStr">
        <is>
          <t>분류</t>
        </is>
      </c>
      <c r="D4" s="4" t="inlineStr">
        <is>
          <t>항목</t>
        </is>
      </c>
      <c r="E4" s="4" t="inlineStr">
        <is>
          <t>금액(원)</t>
        </is>
      </c>
      <c r="F4" s="4" t="inlineStr">
        <is>
          <t>수량</t>
        </is>
      </c>
      <c r="G4" s="4" t="inlineStr">
        <is>
          <t>구매처</t>
        </is>
      </c>
      <c r="H4" s="4" t="inlineStr">
        <is>
          <t>용도·비고</t>
        </is>
      </c>
      <c r="I4" s="4" t="inlineStr">
        <is>
          <t>출처 파일</t>
        </is>
      </c>
    </row>
    <row r="5">
      <c r="A5" s="5" t="inlineStr">
        <is>
          <t>브랜딩팀</t>
        </is>
      </c>
      <c r="B5" s="5" t="inlineStr">
        <is>
          <t>졸준위 예산</t>
        </is>
      </c>
      <c r="C5" s="5" t="inlineStr">
        <is>
          <t>회의비</t>
        </is>
      </c>
      <c r="D5" s="7" t="inlineStr">
        <is>
          <t>회의비 (6인)</t>
        </is>
      </c>
      <c r="E5" s="6" t="n">
        <v>120000</v>
      </c>
      <c r="F5" s="5" t="inlineStr">
        <is>
          <t>6명</t>
        </is>
      </c>
      <c r="G5" s="5" t="inlineStr"/>
      <c r="H5" s="7" t="inlineStr"/>
      <c r="I5" s="5" t="inlineStr">
        <is>
          <t>2차_예산안_브랜딩팀_1019</t>
        </is>
      </c>
    </row>
    <row r="6">
      <c r="A6" s="5" t="inlineStr">
        <is>
          <t>브랜딩팀</t>
        </is>
      </c>
      <c r="B6" s="5" t="inlineStr">
        <is>
          <t>졸준위 예산</t>
        </is>
      </c>
      <c r="C6" s="5" t="inlineStr">
        <is>
          <t>장비</t>
        </is>
      </c>
      <c r="D6" s="7" t="inlineStr">
        <is>
          <t>에어마우스</t>
        </is>
      </c>
      <c r="E6" s="6" t="n">
        <v>60000</v>
      </c>
      <c r="F6" s="5" t="n">
        <v>1</v>
      </c>
      <c r="G6" s="5" t="inlineStr">
        <is>
          <t>쿠팡</t>
        </is>
      </c>
      <c r="H6" s="7" t="inlineStr">
        <is>
          <t>참여형 인터랙션</t>
        </is>
      </c>
      <c r="I6" s="5" t="inlineStr">
        <is>
          <t>2차_예산안_브랜딩팀_1019</t>
        </is>
      </c>
    </row>
    <row r="7">
      <c r="A7" s="5" t="inlineStr">
        <is>
          <t>브랜딩팀</t>
        </is>
      </c>
      <c r="B7" s="5" t="inlineStr">
        <is>
          <t>졸준위 예산</t>
        </is>
      </c>
      <c r="C7" s="5" t="inlineStr">
        <is>
          <t>인쇄·홍보물</t>
        </is>
      </c>
      <c r="D7" s="7" t="inlineStr">
        <is>
          <t>세로형 배너 60×180cm</t>
        </is>
      </c>
      <c r="E7" s="6" t="n">
        <v>135200</v>
      </c>
      <c r="F7" s="5" t="n">
        <v>4</v>
      </c>
      <c r="G7" s="5" t="inlineStr">
        <is>
          <t>비즈하우스</t>
        </is>
      </c>
      <c r="H7" s="7" t="inlineStr">
        <is>
          <t>공간활용 및 브랜드 아이덴티티</t>
        </is>
      </c>
      <c r="I7" s="5" t="inlineStr">
        <is>
          <t>2차_예산안_브랜딩팀_1019</t>
        </is>
      </c>
    </row>
    <row r="8">
      <c r="A8" s="5" t="inlineStr">
        <is>
          <t>브랜딩팀</t>
        </is>
      </c>
      <c r="B8" s="5" t="inlineStr">
        <is>
          <t>졸준위 예산</t>
        </is>
      </c>
      <c r="C8" s="5" t="inlineStr">
        <is>
          <t>인쇄·홍보물</t>
        </is>
      </c>
      <c r="D8" s="7" t="inlineStr">
        <is>
          <t>대형 종이포스터 A1 (별색, 버전1)</t>
        </is>
      </c>
      <c r="E8" s="6" t="n">
        <v>330000</v>
      </c>
      <c r="F8" s="5" t="n">
        <v>50</v>
      </c>
      <c r="G8" s="5" t="inlineStr">
        <is>
          <t>제이엠기획</t>
        </is>
      </c>
      <c r="H8" s="7" t="inlineStr">
        <is>
          <t>전시장 내부 부착·홍보</t>
        </is>
      </c>
      <c r="I8" s="5" t="inlineStr">
        <is>
          <t>2차_예산안_브랜딩팀_1019</t>
        </is>
      </c>
    </row>
    <row r="9">
      <c r="A9" s="5" t="inlineStr">
        <is>
          <t>브랜딩팀</t>
        </is>
      </c>
      <c r="B9" s="5" t="inlineStr">
        <is>
          <t>졸준위 예산</t>
        </is>
      </c>
      <c r="C9" s="5" t="inlineStr">
        <is>
          <t>인쇄·홍보물</t>
        </is>
      </c>
      <c r="D9" s="7" t="inlineStr">
        <is>
          <t>대형 종이포스터 A1 (별색, 버전2)</t>
        </is>
      </c>
      <c r="E9" s="6" t="n">
        <v>330000</v>
      </c>
      <c r="F9" s="5" t="n">
        <v>50</v>
      </c>
      <c r="G9" s="5" t="inlineStr">
        <is>
          <t>제이엠기획</t>
        </is>
      </c>
      <c r="H9" s="7" t="inlineStr"/>
      <c r="I9" s="5" t="inlineStr">
        <is>
          <t>2차_예산안_브랜딩팀_1019</t>
        </is>
      </c>
    </row>
    <row r="10">
      <c r="A10" s="5" t="inlineStr">
        <is>
          <t>브랜딩팀</t>
        </is>
      </c>
      <c r="B10" s="5" t="inlineStr">
        <is>
          <t>졸준위 예산</t>
        </is>
      </c>
      <c r="C10" s="5" t="inlineStr">
        <is>
          <t>공간 연출</t>
        </is>
      </c>
      <c r="D10" s="7" t="inlineStr">
        <is>
          <t>바닥 실내 PU 1000×1000cm</t>
        </is>
      </c>
      <c r="E10" s="6" t="n">
        <v>300000</v>
      </c>
      <c r="F10" s="5" t="n">
        <v>10</v>
      </c>
      <c r="G10" s="5" t="inlineStr">
        <is>
          <t>레드프린팅</t>
        </is>
      </c>
      <c r="H10" s="7" t="inlineStr">
        <is>
          <t>바닥 랩핑</t>
        </is>
      </c>
      <c r="I10" s="5" t="inlineStr">
        <is>
          <t>2차_예산안_브랜딩팀_1019</t>
        </is>
      </c>
    </row>
    <row r="11">
      <c r="A11" s="5" t="inlineStr">
        <is>
          <t>브랜딩팀</t>
        </is>
      </c>
      <c r="B11" s="5" t="inlineStr">
        <is>
          <t>졸준위 예산</t>
        </is>
      </c>
      <c r="C11" s="5" t="inlineStr">
        <is>
          <t>인쇄·홍보물</t>
        </is>
      </c>
      <c r="D11" s="7" t="inlineStr">
        <is>
          <t>대형 현수막 700×320</t>
        </is>
      </c>
      <c r="E11" s="6" t="n">
        <v>136300</v>
      </c>
      <c r="F11" s="5" t="n">
        <v>1</v>
      </c>
      <c r="G11" s="5" t="inlineStr">
        <is>
          <t>비즈하우스</t>
        </is>
      </c>
      <c r="H11" s="7" t="inlineStr">
        <is>
          <t>화이트보드 가림</t>
        </is>
      </c>
      <c r="I11" s="5" t="inlineStr">
        <is>
          <t>2차_예산안_브랜딩팀_1019</t>
        </is>
      </c>
    </row>
    <row r="12">
      <c r="A12" s="5" t="inlineStr">
        <is>
          <t>브랜딩팀</t>
        </is>
      </c>
      <c r="B12" s="5" t="inlineStr">
        <is>
          <t>졸준위 예산</t>
        </is>
      </c>
      <c r="C12" s="5" t="inlineStr">
        <is>
          <t>공간 연출</t>
        </is>
      </c>
      <c r="D12" s="7" t="inlineStr">
        <is>
          <t>시트지 스티커</t>
        </is>
      </c>
      <c r="E12" s="6" t="n">
        <v>99000</v>
      </c>
      <c r="F12" s="5" t="n">
        <v>9</v>
      </c>
      <c r="G12" s="5" t="inlineStr">
        <is>
          <t>비즈하우스</t>
        </is>
      </c>
      <c r="H12" s="7" t="inlineStr">
        <is>
          <t>UT 스튜디오 창문 부착</t>
        </is>
      </c>
      <c r="I12" s="5" t="inlineStr">
        <is>
          <t>2차_예산안_브랜딩팀_1019</t>
        </is>
      </c>
    </row>
    <row r="13">
      <c r="A13" s="5" t="inlineStr">
        <is>
          <t>브랜딩팀</t>
        </is>
      </c>
      <c r="B13" s="5" t="inlineStr">
        <is>
          <t>졸준위 예산</t>
        </is>
      </c>
      <c r="C13" s="5" t="inlineStr">
        <is>
          <t>인쇄·홍보물</t>
        </is>
      </c>
      <c r="D13" s="7" t="inlineStr">
        <is>
          <t>포인트 심플 입간판</t>
        </is>
      </c>
      <c r="E13" s="6" t="n">
        <v>59100</v>
      </c>
      <c r="F13" s="5" t="n">
        <v>1</v>
      </c>
      <c r="G13" s="5" t="inlineStr">
        <is>
          <t>비즈하우스</t>
        </is>
      </c>
      <c r="H13" s="7" t="inlineStr">
        <is>
          <t>즉석 사진 입간판</t>
        </is>
      </c>
      <c r="I13" s="5" t="inlineStr">
        <is>
          <t>2차_예산안_브랜딩팀_1019</t>
        </is>
      </c>
    </row>
    <row r="14">
      <c r="A14" s="5" t="inlineStr">
        <is>
          <t>브랜딩팀</t>
        </is>
      </c>
      <c r="B14" s="5" t="inlineStr">
        <is>
          <t>졸준위 예산</t>
        </is>
      </c>
      <c r="C14" s="5" t="inlineStr">
        <is>
          <t>인쇄·홍보물</t>
        </is>
      </c>
      <c r="D14" s="7" t="inlineStr">
        <is>
          <t>미니 배너</t>
        </is>
      </c>
      <c r="E14" s="6" t="n">
        <v>15500</v>
      </c>
      <c r="F14" s="5" t="n">
        <v>5</v>
      </c>
      <c r="G14" s="5" t="inlineStr">
        <is>
          <t>비즈하우스</t>
        </is>
      </c>
      <c r="H14" s="7" t="inlineStr">
        <is>
          <t>테이블 위 설명</t>
        </is>
      </c>
      <c r="I14" s="5" t="inlineStr">
        <is>
          <t>2차_예산안_브랜딩팀_1019</t>
        </is>
      </c>
    </row>
    <row r="15">
      <c r="A15" s="5" t="inlineStr">
        <is>
          <t>브랜딩팀</t>
        </is>
      </c>
      <c r="B15" s="5" t="inlineStr">
        <is>
          <t>졸준위 예산</t>
        </is>
      </c>
      <c r="C15" s="5" t="inlineStr">
        <is>
          <t>장비</t>
        </is>
      </c>
      <c r="D15" s="7" t="inlineStr">
        <is>
          <t>즉석 사진기 대여(3일)</t>
        </is>
      </c>
      <c r="E15" s="6" t="n">
        <v>320000</v>
      </c>
      <c r="F15" s="5" t="n">
        <v>1</v>
      </c>
      <c r="G15" s="5" t="inlineStr">
        <is>
          <t>더블에이치솔루션</t>
        </is>
      </c>
      <c r="H15" s="7" t="inlineStr">
        <is>
          <t>즉석 사진 출력</t>
        </is>
      </c>
      <c r="I15" s="5" t="inlineStr">
        <is>
          <t>2차_예산안_브랜딩팀_1019</t>
        </is>
      </c>
    </row>
    <row r="16">
      <c r="A16" s="17" t="inlineStr">
        <is>
          <t>브랜딩팀</t>
        </is>
      </c>
      <c r="B16" s="17" t="inlineStr">
        <is>
          <t>시제품제작비</t>
        </is>
      </c>
      <c r="C16" s="17" t="inlineStr">
        <is>
          <t>인쇄·홍보물</t>
        </is>
      </c>
      <c r="D16" s="20" t="inlineStr">
        <is>
          <t>3D 리플렛</t>
        </is>
      </c>
      <c r="E16" s="21" t="n">
        <v>221000</v>
      </c>
      <c r="F16" s="17" t="n">
        <v>300</v>
      </c>
      <c r="G16" s="17" t="inlineStr">
        <is>
          <t>비즈하우스</t>
        </is>
      </c>
      <c r="H16" s="20" t="inlineStr">
        <is>
          <t>엘리베이터 앞 배부</t>
        </is>
      </c>
      <c r="I16" s="17" t="inlineStr">
        <is>
          <t>2차_예산안_브랜딩팀_1019</t>
        </is>
      </c>
    </row>
    <row r="17">
      <c r="A17" s="17" t="inlineStr">
        <is>
          <t>브랜딩팀</t>
        </is>
      </c>
      <c r="B17" s="17" t="inlineStr">
        <is>
          <t>시제품제작비</t>
        </is>
      </c>
      <c r="C17" s="17" t="inlineStr">
        <is>
          <t>인쇄·홍보물</t>
        </is>
      </c>
      <c r="D17" s="20" t="inlineStr">
        <is>
          <t>프리미엄 명함</t>
        </is>
      </c>
      <c r="E17" s="21" t="n">
        <v>17160</v>
      </c>
      <c r="F17" s="17" t="n">
        <v>600</v>
      </c>
      <c r="G17" s="17" t="inlineStr">
        <is>
          <t>레드프린팅</t>
        </is>
      </c>
      <c r="H17" s="20" t="inlineStr">
        <is>
          <t>테이블 위 배치</t>
        </is>
      </c>
      <c r="I17" s="17" t="inlineStr">
        <is>
          <t>2차_예산안_브랜딩팀_1019</t>
        </is>
      </c>
    </row>
    <row r="18">
      <c r="A18" s="17" t="inlineStr">
        <is>
          <t>브랜딩팀</t>
        </is>
      </c>
      <c r="B18" s="17" t="inlineStr">
        <is>
          <t>시제품제작비</t>
        </is>
      </c>
      <c r="C18" s="17" t="inlineStr">
        <is>
          <t>굿즈·이벤트</t>
        </is>
      </c>
      <c r="D18" s="20" t="inlineStr">
        <is>
          <t>싱글 규격 스티커</t>
        </is>
      </c>
      <c r="E18" s="21" t="n">
        <v>5600</v>
      </c>
      <c r="F18" s="17" t="n">
        <v>300</v>
      </c>
      <c r="G18" s="17" t="inlineStr">
        <is>
          <t>비즈하우스</t>
        </is>
      </c>
      <c r="H18" s="20" t="inlineStr"/>
      <c r="I18" s="17" t="inlineStr">
        <is>
          <t>2차_예산안_브랜딩팀_1019</t>
        </is>
      </c>
    </row>
    <row r="19">
      <c r="A19" s="17" t="inlineStr">
        <is>
          <t>브랜딩팀</t>
        </is>
      </c>
      <c r="B19" s="17" t="inlineStr">
        <is>
          <t>시제품제작비</t>
        </is>
      </c>
      <c r="C19" s="17" t="inlineStr">
        <is>
          <t>굿즈·이벤트</t>
        </is>
      </c>
      <c r="D19" s="20" t="inlineStr">
        <is>
          <t>고무인 20 무지 스탬프</t>
        </is>
      </c>
      <c r="E19" s="21" t="n">
        <v>4070</v>
      </c>
      <c r="F19" s="17" t="n">
        <v>1</v>
      </c>
      <c r="G19" s="17" t="inlineStr">
        <is>
          <t>레드프린팅</t>
        </is>
      </c>
      <c r="H19" s="20" t="inlineStr"/>
      <c r="I19" s="17" t="inlineStr">
        <is>
          <t>2차_예산안_브랜딩팀_1019</t>
        </is>
      </c>
    </row>
    <row r="20">
      <c r="A20" s="17" t="inlineStr">
        <is>
          <t>브랜딩팀</t>
        </is>
      </c>
      <c r="B20" s="17" t="inlineStr">
        <is>
          <t>시제품제작비</t>
        </is>
      </c>
      <c r="C20" s="17" t="inlineStr">
        <is>
          <t>굿즈·이벤트</t>
        </is>
      </c>
      <c r="D20" s="20" t="inlineStr">
        <is>
          <t>고무인 자유형 무지 스탬프</t>
        </is>
      </c>
      <c r="E20" s="21" t="n">
        <v>4840</v>
      </c>
      <c r="F20" s="17" t="n">
        <v>1</v>
      </c>
      <c r="G20" s="17" t="inlineStr">
        <is>
          <t>레드프린팅</t>
        </is>
      </c>
      <c r="H20" s="20" t="inlineStr"/>
      <c r="I20" s="17" t="inlineStr">
        <is>
          <t>2차_예산안_브랜딩팀_1019</t>
        </is>
      </c>
    </row>
    <row r="21">
      <c r="A21" s="17" t="inlineStr">
        <is>
          <t>브랜딩팀</t>
        </is>
      </c>
      <c r="B21" s="17" t="inlineStr">
        <is>
          <t>시제품제작비</t>
        </is>
      </c>
      <c r="C21" s="17" t="inlineStr">
        <is>
          <t>굿즈·이벤트</t>
        </is>
      </c>
      <c r="D21" s="20" t="inlineStr">
        <is>
          <t>마스킹 테이프</t>
        </is>
      </c>
      <c r="E21" s="21" t="n">
        <v>4620</v>
      </c>
      <c r="F21" s="17" t="n">
        <v>2</v>
      </c>
      <c r="G21" s="17" t="inlineStr">
        <is>
          <t>레드프린팅</t>
        </is>
      </c>
      <c r="H21" s="20" t="inlineStr"/>
      <c r="I21" s="17" t="inlineStr">
        <is>
          <t>2차_예산안_브랜딩팀_1019</t>
        </is>
      </c>
    </row>
    <row r="22">
      <c r="A22" s="17" t="inlineStr">
        <is>
          <t>브랜딩팀</t>
        </is>
      </c>
      <c r="B22" s="17" t="inlineStr">
        <is>
          <t>시제품제작비</t>
        </is>
      </c>
      <c r="C22" s="17" t="inlineStr">
        <is>
          <t>굿즈·이벤트</t>
        </is>
      </c>
      <c r="D22" s="20" t="inlineStr">
        <is>
          <t>디지털 프린팅 에코백</t>
        </is>
      </c>
      <c r="E22" s="21" t="n">
        <v>49800</v>
      </c>
      <c r="F22" s="17" t="n">
        <v>3</v>
      </c>
      <c r="G22" s="17" t="inlineStr">
        <is>
          <t>비즈하우스</t>
        </is>
      </c>
      <c r="H22" s="20" t="inlineStr">
        <is>
          <t>이벤트 상품</t>
        </is>
      </c>
      <c r="I22" s="17" t="inlineStr">
        <is>
          <t>2차_예산안_브랜딩팀_1019</t>
        </is>
      </c>
    </row>
    <row r="23">
      <c r="A23" s="17" t="inlineStr">
        <is>
          <t>브랜딩팀</t>
        </is>
      </c>
      <c r="B23" s="17" t="inlineStr">
        <is>
          <t>시제품제작비</t>
        </is>
      </c>
      <c r="C23" s="17" t="inlineStr">
        <is>
          <t>굿즈·이벤트</t>
        </is>
      </c>
      <c r="D23" s="20" t="inlineStr">
        <is>
          <t>더블 파스텔 텀블러</t>
        </is>
      </c>
      <c r="E23" s="21" t="n">
        <v>28290</v>
      </c>
      <c r="F23" s="17" t="n">
        <v>3</v>
      </c>
      <c r="G23" s="17" t="inlineStr">
        <is>
          <t>비즈하우스</t>
        </is>
      </c>
      <c r="H23" s="20" t="inlineStr">
        <is>
          <t>이벤트 상품</t>
        </is>
      </c>
      <c r="I23" s="17" t="inlineStr">
        <is>
          <t>2차_예산안_브랜딩팀_1019</t>
        </is>
      </c>
    </row>
    <row r="24">
      <c r="A24" s="17" t="inlineStr">
        <is>
          <t>브랜딩팀</t>
        </is>
      </c>
      <c r="B24" s="17" t="inlineStr">
        <is>
          <t>시제품제작비</t>
        </is>
      </c>
      <c r="C24" s="17" t="inlineStr">
        <is>
          <t>굿즈·이벤트</t>
        </is>
      </c>
      <c r="D24" s="20" t="inlineStr">
        <is>
          <t>WB아이오펜 1.0mm</t>
        </is>
      </c>
      <c r="E24" s="21" t="n">
        <v>43000</v>
      </c>
      <c r="F24" s="17" t="n">
        <v>100</v>
      </c>
      <c r="G24" s="17" t="inlineStr">
        <is>
          <t>비즈하우스</t>
        </is>
      </c>
      <c r="H24" s="20" t="inlineStr"/>
      <c r="I24" s="17" t="inlineStr">
        <is>
          <t>2차_예산안_브랜딩팀_1019</t>
        </is>
      </c>
    </row>
    <row r="25">
      <c r="A25" s="17" t="inlineStr">
        <is>
          <t>브랜딩팀</t>
        </is>
      </c>
      <c r="B25" s="17" t="inlineStr">
        <is>
          <t>시제품제작비</t>
        </is>
      </c>
      <c r="C25" s="17" t="inlineStr">
        <is>
          <t>굿즈·이벤트</t>
        </is>
      </c>
      <c r="D25" s="20" t="inlineStr">
        <is>
          <t>아크릴 명찰</t>
        </is>
      </c>
      <c r="E25" s="21" t="n">
        <v>23100</v>
      </c>
      <c r="F25" s="17" t="n">
        <v>6</v>
      </c>
      <c r="G25" s="17" t="inlineStr">
        <is>
          <t>레드프린팅</t>
        </is>
      </c>
      <c r="H25" s="20" t="inlineStr">
        <is>
          <t>스태프 부착</t>
        </is>
      </c>
      <c r="I25" s="17" t="inlineStr">
        <is>
          <t>2차_예산안_브랜딩팀_1019</t>
        </is>
      </c>
    </row>
    <row r="26">
      <c r="A26" s="17" t="inlineStr">
        <is>
          <t>브랜딩팀</t>
        </is>
      </c>
      <c r="B26" s="17" t="inlineStr">
        <is>
          <t>시제품제작비</t>
        </is>
      </c>
      <c r="C26" s="17" t="inlineStr">
        <is>
          <t>인쇄·홍보물</t>
        </is>
      </c>
      <c r="D26" s="20" t="inlineStr">
        <is>
          <t>대형 현수막 300×320</t>
        </is>
      </c>
      <c r="E26" s="21" t="n">
        <v>115200</v>
      </c>
      <c r="F26" s="17" t="n">
        <v>2</v>
      </c>
      <c r="G26" s="17" t="inlineStr">
        <is>
          <t>비즈하우스</t>
        </is>
      </c>
      <c r="H26" s="20" t="inlineStr">
        <is>
          <t>즉석 사진 배경·공간분리</t>
        </is>
      </c>
      <c r="I26" s="17" t="inlineStr">
        <is>
          <t>2차_예산안_브랜딩팀_1019</t>
        </is>
      </c>
    </row>
    <row r="27">
      <c r="A27" s="17" t="inlineStr">
        <is>
          <t>브랜딩팀</t>
        </is>
      </c>
      <c r="B27" s="17" t="inlineStr">
        <is>
          <t>시제품제작비</t>
        </is>
      </c>
      <c r="C27" s="17" t="inlineStr">
        <is>
          <t>인쇄·홍보물</t>
        </is>
      </c>
      <c r="D27" s="20" t="inlineStr">
        <is>
          <t>대형 현수막 500×190</t>
        </is>
      </c>
      <c r="E27" s="21" t="n">
        <v>57000</v>
      </c>
      <c r="F27" s="17" t="n">
        <v>1</v>
      </c>
      <c r="G27" s="17" t="inlineStr">
        <is>
          <t>비즈하우스</t>
        </is>
      </c>
      <c r="H27" s="20" t="inlineStr">
        <is>
          <t>브랜드 아이덴티티</t>
        </is>
      </c>
      <c r="I27" s="17" t="inlineStr">
        <is>
          <t>2차_예산안_브랜딩팀_1019</t>
        </is>
      </c>
    </row>
    <row r="28">
      <c r="A28" s="17" t="inlineStr">
        <is>
          <t>브랜딩팀</t>
        </is>
      </c>
      <c r="B28" s="17" t="inlineStr">
        <is>
          <t>시제품제작비</t>
        </is>
      </c>
      <c r="C28" s="17" t="inlineStr">
        <is>
          <t>소모품</t>
        </is>
      </c>
      <c r="D28" s="20" t="inlineStr">
        <is>
          <t>기타 소모품(가위·비닐·접착제)</t>
        </is>
      </c>
      <c r="E28" s="21" t="n">
        <v>10000</v>
      </c>
      <c r="F28" s="17" t="inlineStr">
        <is>
          <t>-</t>
        </is>
      </c>
      <c r="G28" s="17" t="inlineStr">
        <is>
          <t>다이소</t>
        </is>
      </c>
      <c r="H28" s="20" t="inlineStr"/>
      <c r="I28" s="17" t="inlineStr">
        <is>
          <t>2차_예산안_브랜딩팀_1019</t>
        </is>
      </c>
    </row>
    <row r="29">
      <c r="A29" s="5" t="inlineStr">
        <is>
          <t>오프닝팀</t>
        </is>
      </c>
      <c r="B29" s="5" t="inlineStr">
        <is>
          <t>졸준위 예산</t>
        </is>
      </c>
      <c r="C29" s="5" t="inlineStr">
        <is>
          <t>장식</t>
        </is>
      </c>
      <c r="D29" s="7" t="inlineStr">
        <is>
          <t>풍선 부는 기계</t>
        </is>
      </c>
      <c r="E29" s="6" t="n">
        <v>48400</v>
      </c>
      <c r="F29" s="5" t="inlineStr">
        <is>
          <t>2개</t>
        </is>
      </c>
      <c r="G29" s="5" t="inlineStr">
        <is>
          <t>쿠팡</t>
        </is>
      </c>
      <c r="H29" s="7" t="inlineStr">
        <is>
          <t>다목적홀 내외부 장식</t>
        </is>
      </c>
      <c r="I29" s="5" t="inlineStr">
        <is>
          <t>2차_예산안_오프닝팀_1021</t>
        </is>
      </c>
    </row>
    <row r="30">
      <c r="A30" s="5" t="inlineStr">
        <is>
          <t>오프닝팀</t>
        </is>
      </c>
      <c r="B30" s="5" t="inlineStr">
        <is>
          <t>졸준위 예산</t>
        </is>
      </c>
      <c r="C30" s="5" t="inlineStr">
        <is>
          <t>장식</t>
        </is>
      </c>
      <c r="D30" s="7" t="inlineStr">
        <is>
          <t>원형 풍선(실버)</t>
        </is>
      </c>
      <c r="E30" s="6" t="n">
        <v>5500</v>
      </c>
      <c r="F30" s="5" t="inlineStr">
        <is>
          <t>50개</t>
        </is>
      </c>
      <c r="G30" s="5" t="inlineStr">
        <is>
          <t>쿠팡</t>
        </is>
      </c>
      <c r="H30" s="7" t="inlineStr">
        <is>
          <t>다목적홀 내부 장식</t>
        </is>
      </c>
      <c r="I30" s="5" t="inlineStr">
        <is>
          <t>2차_예산안_오프닝팀_1021</t>
        </is>
      </c>
    </row>
    <row r="31">
      <c r="A31" s="5" t="inlineStr">
        <is>
          <t>오프닝팀</t>
        </is>
      </c>
      <c r="B31" s="5" t="inlineStr">
        <is>
          <t>졸준위 예산</t>
        </is>
      </c>
      <c r="C31" s="5" t="inlineStr">
        <is>
          <t>장식</t>
        </is>
      </c>
      <c r="D31" s="7" t="inlineStr">
        <is>
          <t>원형 풍선(화이트)</t>
        </is>
      </c>
      <c r="E31" s="6" t="n">
        <v>7080</v>
      </c>
      <c r="F31" s="5" t="inlineStr">
        <is>
          <t>50개</t>
        </is>
      </c>
      <c r="G31" s="5" t="inlineStr">
        <is>
          <t>쿠팡</t>
        </is>
      </c>
      <c r="H31" s="7" t="inlineStr">
        <is>
          <t>다목적홀 내부 장식</t>
        </is>
      </c>
      <c r="I31" s="5" t="inlineStr">
        <is>
          <t>2차_예산안_오프닝팀_1021</t>
        </is>
      </c>
    </row>
    <row r="32">
      <c r="A32" s="5" t="inlineStr">
        <is>
          <t>오프닝팀</t>
        </is>
      </c>
      <c r="B32" s="5" t="inlineStr">
        <is>
          <t>졸준위 예산</t>
        </is>
      </c>
      <c r="C32" s="5" t="inlineStr">
        <is>
          <t>장식</t>
        </is>
      </c>
      <c r="D32" s="7" t="inlineStr">
        <is>
          <t>긴 풍선(실버)</t>
        </is>
      </c>
      <c r="E32" s="6" t="n">
        <v>6900</v>
      </c>
      <c r="F32" s="5" t="inlineStr">
        <is>
          <t>100개</t>
        </is>
      </c>
      <c r="G32" s="5" t="inlineStr">
        <is>
          <t>쿠팡</t>
        </is>
      </c>
      <c r="H32" s="7" t="inlineStr">
        <is>
          <t>다목적홀 외부 장식</t>
        </is>
      </c>
      <c r="I32" s="5" t="inlineStr">
        <is>
          <t>2차_예산안_오프닝팀_1021</t>
        </is>
      </c>
    </row>
    <row r="33">
      <c r="A33" s="5" t="inlineStr">
        <is>
          <t>오프닝팀</t>
        </is>
      </c>
      <c r="B33" s="5" t="inlineStr">
        <is>
          <t>졸준위 예산</t>
        </is>
      </c>
      <c r="C33" s="5" t="inlineStr">
        <is>
          <t>장식</t>
        </is>
      </c>
      <c r="D33" s="7" t="inlineStr">
        <is>
          <t>긴 풍선(화이트)</t>
        </is>
      </c>
      <c r="E33" s="6" t="n">
        <v>7540</v>
      </c>
      <c r="F33" s="5" t="inlineStr">
        <is>
          <t>100개</t>
        </is>
      </c>
      <c r="G33" s="5" t="inlineStr">
        <is>
          <t>쿠팡</t>
        </is>
      </c>
      <c r="H33" s="7" t="inlineStr">
        <is>
          <t>다목적홀 외부 장식</t>
        </is>
      </c>
      <c r="I33" s="5" t="inlineStr">
        <is>
          <t>2차_예산안_오프닝팀_1021</t>
        </is>
      </c>
    </row>
    <row r="34">
      <c r="A34" s="5" t="inlineStr">
        <is>
          <t>오프닝팀</t>
        </is>
      </c>
      <c r="B34" s="5" t="inlineStr">
        <is>
          <t>졸준위 예산</t>
        </is>
      </c>
      <c r="C34" s="5" t="inlineStr">
        <is>
          <t>장식</t>
        </is>
      </c>
      <c r="D34" s="7" t="inlineStr">
        <is>
          <t>흰색 수술 1000×2000mm</t>
        </is>
      </c>
      <c r="E34" s="6" t="n">
        <v>8800</v>
      </c>
      <c r="F34" s="5" t="inlineStr">
        <is>
          <t>3개</t>
        </is>
      </c>
      <c r="G34" s="5" t="inlineStr">
        <is>
          <t>쿠팡</t>
        </is>
      </c>
      <c r="H34" s="7" t="inlineStr">
        <is>
          <t>다목적홀 외부 장식</t>
        </is>
      </c>
      <c r="I34" s="5" t="inlineStr">
        <is>
          <t>2차_예산안_오프닝팀_1021</t>
        </is>
      </c>
    </row>
    <row r="35">
      <c r="A35" s="5" t="inlineStr">
        <is>
          <t>오프닝팀</t>
        </is>
      </c>
      <c r="B35" s="5" t="inlineStr">
        <is>
          <t>졸준위 예산</t>
        </is>
      </c>
      <c r="C35" s="5" t="inlineStr">
        <is>
          <t>상품</t>
        </is>
      </c>
      <c r="D35" s="7" t="inlineStr">
        <is>
          <t>배달의민족 30,000원 금액권</t>
        </is>
      </c>
      <c r="E35" s="6" t="n">
        <v>180000</v>
      </c>
      <c r="F35" s="5" t="inlineStr">
        <is>
          <t>6개</t>
        </is>
      </c>
      <c r="G35" s="5" t="inlineStr">
        <is>
          <t>카카오톡 선물하기</t>
        </is>
      </c>
      <c r="H35" s="7" t="inlineStr">
        <is>
          <t>2부 레크레이션(카훗) 상품</t>
        </is>
      </c>
      <c r="I35" s="5" t="inlineStr">
        <is>
          <t>2차_예산안_오프닝팀_1021</t>
        </is>
      </c>
    </row>
    <row r="36">
      <c r="A36" s="5" t="inlineStr">
        <is>
          <t>오프닝팀</t>
        </is>
      </c>
      <c r="B36" s="5" t="inlineStr">
        <is>
          <t>졸준위 예산</t>
        </is>
      </c>
      <c r="C36" s="5" t="inlineStr">
        <is>
          <t>졸업선물</t>
        </is>
      </c>
      <c r="D36" s="7" t="inlineStr">
        <is>
          <t>자수 타올 주문제작(블랙)</t>
        </is>
      </c>
      <c r="E36" s="6" t="n">
        <v>819000</v>
      </c>
      <c r="F36" s="5" t="inlineStr">
        <is>
          <t>130개</t>
        </is>
      </c>
      <c r="G36" s="5" t="inlineStr">
        <is>
          <t>네이버 스마트스토어(송월)</t>
        </is>
      </c>
      <c r="H36" s="7" t="inlineStr">
        <is>
          <t>졸업예정자·전임 교수님 기념 선물</t>
        </is>
      </c>
      <c r="I36" s="5" t="inlineStr">
        <is>
          <t>2차_예산안_오프닝팀_1021</t>
        </is>
      </c>
    </row>
    <row r="37">
      <c r="A37" s="5" t="inlineStr">
        <is>
          <t>오프닝팀</t>
        </is>
      </c>
      <c r="B37" s="5" t="inlineStr">
        <is>
          <t>졸준위 예산</t>
        </is>
      </c>
      <c r="C37" s="5" t="inlineStr">
        <is>
          <t>졸업선물</t>
        </is>
      </c>
      <c r="D37" s="7" t="inlineStr">
        <is>
          <t>선물 상자(블랙)</t>
        </is>
      </c>
      <c r="E37" s="6" t="n">
        <v>95200</v>
      </c>
      <c r="F37" s="5" t="inlineStr">
        <is>
          <t>136개</t>
        </is>
      </c>
      <c r="G37" s="5" t="inlineStr">
        <is>
          <t>쿠팡</t>
        </is>
      </c>
      <c r="H37" s="7" t="inlineStr">
        <is>
          <t>졸업선물 포장</t>
        </is>
      </c>
      <c r="I37" s="5" t="inlineStr">
        <is>
          <t>2차_예산안_오프닝팀_1021</t>
        </is>
      </c>
    </row>
    <row r="38">
      <c r="A38" s="5" t="inlineStr">
        <is>
          <t>오프닝팀</t>
        </is>
      </c>
      <c r="B38" s="5" t="inlineStr">
        <is>
          <t>졸준위 예산</t>
        </is>
      </c>
      <c r="C38" s="5" t="inlineStr">
        <is>
          <t>졸업선물</t>
        </is>
      </c>
      <c r="D38" s="7" t="inlineStr">
        <is>
          <t>투명 카드택</t>
        </is>
      </c>
      <c r="E38" s="6" t="n">
        <v>30950</v>
      </c>
      <c r="F38" s="5" t="inlineStr">
        <is>
          <t>132개</t>
        </is>
      </c>
      <c r="G38" s="5" t="inlineStr">
        <is>
          <t>퍼블로그</t>
        </is>
      </c>
      <c r="H38" s="7" t="inlineStr">
        <is>
          <t>졸업선물 포장</t>
        </is>
      </c>
      <c r="I38" s="5" t="inlineStr">
        <is>
          <t>2차_예산안_오프닝팀_1021</t>
        </is>
      </c>
    </row>
    <row r="39">
      <c r="A39" s="5" t="inlineStr">
        <is>
          <t>오프닝팀</t>
        </is>
      </c>
      <c r="B39" s="5" t="inlineStr">
        <is>
          <t>졸준위 예산</t>
        </is>
      </c>
      <c r="C39" s="5" t="inlineStr">
        <is>
          <t>졸업선물</t>
        </is>
      </c>
      <c r="D39" s="7" t="inlineStr">
        <is>
          <t>포장용 리본끈(블루) 6mm</t>
        </is>
      </c>
      <c r="E39" s="6" t="n">
        <v>29950</v>
      </c>
      <c r="F39" s="5" t="inlineStr">
        <is>
          <t>5개</t>
        </is>
      </c>
      <c r="G39" s="5" t="inlineStr">
        <is>
          <t>쿠팡</t>
        </is>
      </c>
      <c r="H39" s="7" t="inlineStr">
        <is>
          <t>졸업선물 포장</t>
        </is>
      </c>
      <c r="I39" s="5" t="inlineStr">
        <is>
          <t>2차_예산안_오프닝팀_1021</t>
        </is>
      </c>
    </row>
    <row r="40">
      <c r="A40" s="5" t="inlineStr">
        <is>
          <t>오프닝팀</t>
        </is>
      </c>
      <c r="B40" s="5" t="inlineStr">
        <is>
          <t>졸준위 예산</t>
        </is>
      </c>
      <c r="C40" s="5" t="inlineStr">
        <is>
          <t>졸업선물</t>
        </is>
      </c>
      <c r="D40" s="7" t="inlineStr">
        <is>
          <t>포장용 디자인 종이 A4</t>
        </is>
      </c>
      <c r="E40" s="6" t="n">
        <v>34550</v>
      </c>
      <c r="F40" s="5" t="inlineStr">
        <is>
          <t>65세트</t>
        </is>
      </c>
      <c r="G40" s="5" t="inlineStr">
        <is>
          <t>퍼블로그</t>
        </is>
      </c>
      <c r="H40" s="7" t="inlineStr">
        <is>
          <t>졸업선물 포장</t>
        </is>
      </c>
      <c r="I40" s="5" t="inlineStr">
        <is>
          <t>2차_예산안_오프닝팀_1021</t>
        </is>
      </c>
    </row>
    <row r="41">
      <c r="A41" s="5" t="inlineStr">
        <is>
          <t>오프닝팀</t>
        </is>
      </c>
      <c r="B41" s="5" t="inlineStr">
        <is>
          <t>졸준위 예산</t>
        </is>
      </c>
      <c r="C41" s="5" t="inlineStr">
        <is>
          <t>장식</t>
        </is>
      </c>
      <c r="D41" s="7" t="inlineStr">
        <is>
          <t>75mm 공단 리본끈(코발트블루)</t>
        </is>
      </c>
      <c r="E41" s="6" t="n">
        <v>19000</v>
      </c>
      <c r="F41" s="5" t="inlineStr">
        <is>
          <t>1개</t>
        </is>
      </c>
      <c r="G41" s="5" t="inlineStr">
        <is>
          <t>쿠팡</t>
        </is>
      </c>
      <c r="H41" s="7" t="inlineStr">
        <is>
          <t>리본 커팅식</t>
        </is>
      </c>
      <c r="I41" s="5" t="inlineStr">
        <is>
          <t>2차_예산안_오프닝팀_1021</t>
        </is>
      </c>
    </row>
    <row r="42">
      <c r="A42" s="5" t="inlineStr">
        <is>
          <t>오프닝팀</t>
        </is>
      </c>
      <c r="B42" s="5" t="inlineStr">
        <is>
          <t>졸준위 예산</t>
        </is>
      </c>
      <c r="C42" s="5" t="inlineStr">
        <is>
          <t>배송비</t>
        </is>
      </c>
      <c r="D42" s="7" t="inlineStr">
        <is>
          <t>배송비 전체</t>
        </is>
      </c>
      <c r="E42" s="6" t="n">
        <v>100000</v>
      </c>
      <c r="F42" s="5" t="inlineStr">
        <is>
          <t>-</t>
        </is>
      </c>
      <c r="G42" s="5" t="inlineStr">
        <is>
          <t>쿠팡</t>
        </is>
      </c>
      <c r="H42" s="7" t="inlineStr">
        <is>
          <t>온라인 주문 배송비</t>
        </is>
      </c>
      <c r="I42" s="5" t="inlineStr">
        <is>
          <t>2차_예산안_오프닝팀_1021</t>
        </is>
      </c>
    </row>
    <row r="43">
      <c r="A43" s="5" t="inlineStr">
        <is>
          <t>오프닝팀</t>
        </is>
      </c>
      <c r="B43" s="5" t="inlineStr">
        <is>
          <t>졸준위 예산</t>
        </is>
      </c>
      <c r="C43" s="5" t="inlineStr">
        <is>
          <t>회의비</t>
        </is>
      </c>
      <c r="D43" s="7" t="inlineStr">
        <is>
          <t>회의비</t>
        </is>
      </c>
      <c r="E43" s="6" t="n">
        <v>160000</v>
      </c>
      <c r="F43" s="5" t="inlineStr">
        <is>
          <t>8명</t>
        </is>
      </c>
      <c r="G43" s="5" t="inlineStr"/>
      <c r="H43" s="7" t="inlineStr">
        <is>
          <t>오프닝팀 스태프 회의비</t>
        </is>
      </c>
      <c r="I43" s="5" t="inlineStr">
        <is>
          <t>2차_예산안_오프닝팀_1021</t>
        </is>
      </c>
    </row>
    <row r="44">
      <c r="A44" s="5" t="inlineStr">
        <is>
          <t>전시팀</t>
        </is>
      </c>
      <c r="B44" s="5" t="inlineStr">
        <is>
          <t>졸준위 예산</t>
        </is>
      </c>
      <c r="C44" s="5" t="inlineStr">
        <is>
          <t>가벽·집기 렌탈</t>
        </is>
      </c>
      <c r="D44" s="7" t="inlineStr">
        <is>
          <t>라이트너 전시가벽</t>
        </is>
      </c>
      <c r="E44" s="6" t="n">
        <v>4400000</v>
      </c>
      <c r="F44" s="5" t="inlineStr"/>
      <c r="G44" s="5" t="inlineStr"/>
      <c r="H44" s="7" t="inlineStr">
        <is>
          <t>배송/철거비·부가세 10% 포함, 계약금 10% 지급완료</t>
        </is>
      </c>
      <c r="I44" s="5" t="inlineStr">
        <is>
          <t>2차_예산안_전시팀_1021</t>
        </is>
      </c>
    </row>
    <row r="45">
      <c r="A45" s="5" t="inlineStr">
        <is>
          <t>전시팀</t>
        </is>
      </c>
      <c r="B45" s="5" t="inlineStr">
        <is>
          <t>졸준위 예산</t>
        </is>
      </c>
      <c r="C45" s="5" t="inlineStr">
        <is>
          <t>가벽·집기 렌탈</t>
        </is>
      </c>
      <c r="D45" s="7" t="inlineStr">
        <is>
          <t>테이블 + 천</t>
        </is>
      </c>
      <c r="E45" s="6" t="n">
        <v>400000</v>
      </c>
      <c r="F45" s="5" t="inlineStr">
        <is>
          <t>20개</t>
        </is>
      </c>
      <c r="G45" s="5" t="inlineStr"/>
      <c r="H45" s="7" t="inlineStr">
        <is>
          <t>1200/1500/1800 화이트</t>
        </is>
      </c>
      <c r="I45" s="5" t="inlineStr">
        <is>
          <t>2차_예산안_전시팀_1021</t>
        </is>
      </c>
    </row>
    <row r="46">
      <c r="A46" s="5" t="inlineStr">
        <is>
          <t>전시팀</t>
        </is>
      </c>
      <c r="B46" s="5" t="inlineStr">
        <is>
          <t>졸준위 예산</t>
        </is>
      </c>
      <c r="C46" s="5" t="inlineStr">
        <is>
          <t>설치 자재</t>
        </is>
      </c>
      <c r="D46" s="7" t="inlineStr">
        <is>
          <t>압축봉 홀더</t>
        </is>
      </c>
      <c r="E46" s="6" t="n">
        <v>9200</v>
      </c>
      <c r="F46" s="5" t="inlineStr">
        <is>
          <t>4개</t>
        </is>
      </c>
      <c r="G46" s="5" t="inlineStr"/>
      <c r="H46" s="7" t="inlineStr"/>
      <c r="I46" s="5" t="inlineStr">
        <is>
          <t>2차_예산안_전시팀_1021</t>
        </is>
      </c>
    </row>
    <row r="47">
      <c r="A47" s="5" t="inlineStr">
        <is>
          <t>전시팀</t>
        </is>
      </c>
      <c r="B47" s="5" t="inlineStr">
        <is>
          <t>졸준위 예산</t>
        </is>
      </c>
      <c r="C47" s="5" t="inlineStr">
        <is>
          <t>설치 자재</t>
        </is>
      </c>
      <c r="D47" s="7" t="inlineStr">
        <is>
          <t>압축봉</t>
        </is>
      </c>
      <c r="E47" s="6" t="n">
        <v>19000</v>
      </c>
      <c r="F47" s="5" t="inlineStr">
        <is>
          <t>2개</t>
        </is>
      </c>
      <c r="G47" s="5" t="inlineStr"/>
      <c r="H47" s="7" t="inlineStr"/>
      <c r="I47" s="5" t="inlineStr">
        <is>
          <t>2차_예산안_전시팀_1021</t>
        </is>
      </c>
    </row>
    <row r="48">
      <c r="A48" s="5" t="inlineStr">
        <is>
          <t>전시팀</t>
        </is>
      </c>
      <c r="B48" s="5" t="inlineStr">
        <is>
          <t>졸준위 예산</t>
        </is>
      </c>
      <c r="C48" s="5" t="inlineStr">
        <is>
          <t>회의비</t>
        </is>
      </c>
      <c r="D48" s="7" t="inlineStr">
        <is>
          <t>회의비</t>
        </is>
      </c>
      <c r="E48" s="6" t="n">
        <v>440000</v>
      </c>
      <c r="F48" s="5" t="inlineStr"/>
      <c r="G48" s="5" t="inlineStr"/>
      <c r="H48" s="7" t="inlineStr"/>
      <c r="I48" s="5" t="inlineStr">
        <is>
          <t>2차_예산안_전시팀_1021</t>
        </is>
      </c>
    </row>
    <row r="49">
      <c r="A49" s="17" t="inlineStr">
        <is>
          <t>전시팀</t>
        </is>
      </c>
      <c r="B49" s="17" t="inlineStr">
        <is>
          <t>시제품제작비</t>
        </is>
      </c>
      <c r="C49" s="17" t="inlineStr">
        <is>
          <t>공간 연출</t>
        </is>
      </c>
      <c r="D49" s="20" t="inlineStr">
        <is>
          <t>암막 시트지</t>
        </is>
      </c>
      <c r="E49" s="21" t="n">
        <v>270000</v>
      </c>
      <c r="F49" s="17" t="inlineStr">
        <is>
          <t>20장</t>
        </is>
      </c>
      <c r="G49" s="17" t="inlineStr"/>
      <c r="H49" s="20" t="inlineStr">
        <is>
          <t>무점착 100×300</t>
        </is>
      </c>
      <c r="I49" s="17" t="inlineStr">
        <is>
          <t>2차_예산안_전시팀_1021</t>
        </is>
      </c>
    </row>
    <row r="50">
      <c r="A50" s="17" t="inlineStr">
        <is>
          <t>전시팀</t>
        </is>
      </c>
      <c r="B50" s="17" t="inlineStr">
        <is>
          <t>시제품제작비</t>
        </is>
      </c>
      <c r="C50" s="17" t="inlineStr">
        <is>
          <t>공간 연출</t>
        </is>
      </c>
      <c r="D50" s="20" t="inlineStr">
        <is>
          <t>리무버블 시트지(블랙)</t>
        </is>
      </c>
      <c r="E50" s="21" t="n">
        <v>240000</v>
      </c>
      <c r="F50" s="17" t="inlineStr">
        <is>
          <t>2롤</t>
        </is>
      </c>
      <c r="G50" s="17" t="inlineStr"/>
      <c r="H50" s="20" t="inlineStr">
        <is>
          <t>1m×100m</t>
        </is>
      </c>
      <c r="I50" s="17" t="inlineStr">
        <is>
          <t>2차_예산안_전시팀_1021</t>
        </is>
      </c>
    </row>
    <row r="51">
      <c r="A51" s="17" t="inlineStr">
        <is>
          <t>전시팀</t>
        </is>
      </c>
      <c r="B51" s="17" t="inlineStr">
        <is>
          <t>시제품제작비</t>
        </is>
      </c>
      <c r="C51" s="17" t="inlineStr">
        <is>
          <t>공간 연출</t>
        </is>
      </c>
      <c r="D51" s="20" t="inlineStr">
        <is>
          <t>파티션 시트지</t>
        </is>
      </c>
      <c r="E51" s="21" t="n">
        <v>279230</v>
      </c>
      <c r="F51" s="17" t="inlineStr">
        <is>
          <t>팀당 1장</t>
        </is>
      </c>
      <c r="G51" s="17" t="inlineStr"/>
      <c r="H51" s="20" t="inlineStr">
        <is>
          <t>디미디 분야만 · 레드프린팅</t>
        </is>
      </c>
      <c r="I51" s="17" t="inlineStr">
        <is>
          <t>2차_예산안_전시팀_1021</t>
        </is>
      </c>
    </row>
    <row r="52">
      <c r="A52" s="17" t="inlineStr">
        <is>
          <t>전시팀</t>
        </is>
      </c>
      <c r="B52" s="17" t="inlineStr">
        <is>
          <t>시제품제작비</t>
        </is>
      </c>
      <c r="C52" s="17" t="inlineStr">
        <is>
          <t>공간 연출</t>
        </is>
      </c>
      <c r="D52" s="20" t="inlineStr">
        <is>
          <t>암막커튼</t>
        </is>
      </c>
      <c r="E52" s="21" t="n">
        <v>59900</v>
      </c>
      <c r="F52" s="17" t="inlineStr">
        <is>
          <t>1+1</t>
        </is>
      </c>
      <c r="G52" s="17" t="inlineStr"/>
      <c r="H52" s="20" t="inlineStr"/>
      <c r="I52" s="17" t="inlineStr">
        <is>
          <t>2차_예산안_전시팀_1021</t>
        </is>
      </c>
    </row>
    <row r="53">
      <c r="A53" s="17" t="inlineStr">
        <is>
          <t>전시팀</t>
        </is>
      </c>
      <c r="B53" s="17" t="inlineStr">
        <is>
          <t>시제품제작비</t>
        </is>
      </c>
      <c r="C53" s="17" t="inlineStr">
        <is>
          <t>공간 연출</t>
        </is>
      </c>
      <c r="D53" s="20" t="inlineStr">
        <is>
          <t>트러스용 흰천</t>
        </is>
      </c>
      <c r="E53" s="21" t="n">
        <v>60000</v>
      </c>
      <c r="F53" s="17" t="inlineStr"/>
      <c r="G53" s="17" t="inlineStr"/>
      <c r="H53" s="20" t="inlineStr"/>
      <c r="I53" s="17" t="inlineStr">
        <is>
          <t>2차_예산안_전시팀_1021</t>
        </is>
      </c>
    </row>
    <row r="54">
      <c r="A54" s="17" t="inlineStr">
        <is>
          <t>전시팀</t>
        </is>
      </c>
      <c r="B54" s="17" t="inlineStr">
        <is>
          <t>시제품제작비</t>
        </is>
      </c>
      <c r="C54" s="17" t="inlineStr">
        <is>
          <t>설치 자재</t>
        </is>
      </c>
      <c r="D54" s="20" t="inlineStr">
        <is>
          <t>허니콤보드 (크스)</t>
        </is>
      </c>
      <c r="E54" s="21" t="n">
        <v>495000</v>
      </c>
      <c r="F54" s="17" t="inlineStr"/>
      <c r="G54" s="17" t="inlineStr"/>
      <c r="H54" s="20" t="inlineStr">
        <is>
          <t>8t-16t.com</t>
        </is>
      </c>
      <c r="I54" s="17" t="inlineStr">
        <is>
          <t>2차_예산안_전시팀_1021</t>
        </is>
      </c>
    </row>
    <row r="55">
      <c r="A55" s="17" t="inlineStr">
        <is>
          <t>전시팀</t>
        </is>
      </c>
      <c r="B55" s="17" t="inlineStr">
        <is>
          <t>시제품제작비</t>
        </is>
      </c>
      <c r="C55" s="17" t="inlineStr">
        <is>
          <t>설치 자재</t>
        </is>
      </c>
      <c r="D55" s="20" t="inlineStr">
        <is>
          <t>허니콤보드 (리셉션)</t>
        </is>
      </c>
      <c r="E55" s="21" t="n">
        <v>760000</v>
      </c>
      <c r="F55" s="17" t="inlineStr"/>
      <c r="G55" s="17" t="inlineStr"/>
      <c r="H55" s="20" t="inlineStr">
        <is>
          <t>8t-16t.com</t>
        </is>
      </c>
      <c r="I55" s="17" t="inlineStr">
        <is>
          <t>2차_예산안_전시팀_1021</t>
        </is>
      </c>
    </row>
    <row r="56">
      <c r="A56" s="17" t="inlineStr">
        <is>
          <t>전시팀</t>
        </is>
      </c>
      <c r="B56" s="17" t="inlineStr">
        <is>
          <t>시제품제작비</t>
        </is>
      </c>
      <c r="C56" s="17" t="inlineStr">
        <is>
          <t>설치 자재</t>
        </is>
      </c>
      <c r="D56" s="20" t="inlineStr">
        <is>
          <t>허니콤보드 연결 볼트</t>
        </is>
      </c>
      <c r="E56" s="21" t="n">
        <v>48000</v>
      </c>
      <c r="F56" s="17" t="inlineStr"/>
      <c r="G56" s="17" t="inlineStr"/>
      <c r="H56" s="20" t="inlineStr"/>
      <c r="I56" s="17" t="inlineStr">
        <is>
          <t>2차_예산안_전시팀_1021</t>
        </is>
      </c>
    </row>
    <row r="57">
      <c r="A57" s="17" t="inlineStr">
        <is>
          <t>전시팀</t>
        </is>
      </c>
      <c r="B57" s="17" t="inlineStr">
        <is>
          <t>시제품제작비</t>
        </is>
      </c>
      <c r="C57" s="17" t="inlineStr">
        <is>
          <t>배송비</t>
        </is>
      </c>
      <c r="D57" s="20" t="inlineStr">
        <is>
          <t>허니콤보드 배송비</t>
        </is>
      </c>
      <c r="E57" s="21" t="n">
        <v>80000</v>
      </c>
      <c r="F57" s="17" t="inlineStr"/>
      <c r="G57" s="17" t="inlineStr"/>
      <c r="H57" s="20" t="inlineStr"/>
      <c r="I57" s="17" t="inlineStr">
        <is>
          <t>2차_예산안_전시팀_1021</t>
        </is>
      </c>
    </row>
    <row r="58">
      <c r="A58" s="5" t="inlineStr">
        <is>
          <t>전시팀</t>
        </is>
      </c>
      <c r="B58" s="5" t="inlineStr">
        <is>
          <t>졸준위 예산</t>
        </is>
      </c>
      <c r="C58" s="5" t="inlineStr">
        <is>
          <t>공간 연출</t>
        </is>
      </c>
      <c r="D58" s="7" t="inlineStr">
        <is>
          <t>시트지 래핑(창문) / 허니콤보드 연결형 배너</t>
        </is>
      </c>
      <c r="E58" s="12" t="n"/>
      <c r="F58" s="5" t="inlineStr">
        <is>
          <t>2장 / 6개</t>
        </is>
      </c>
      <c r="G58" s="5" t="inlineStr"/>
      <c r="H58" s="7" t="inlineStr">
        <is>
          <t>예산안에 금액 미기재(견적 예정)</t>
        </is>
      </c>
      <c r="I58" s="5" t="inlineStr">
        <is>
          <t>2차_예산안_전시팀_1021</t>
        </is>
      </c>
    </row>
    <row r="59">
      <c r="A59" s="5" t="inlineStr">
        <is>
          <t>하드웨어팀</t>
        </is>
      </c>
      <c r="B59" s="5" t="inlineStr">
        <is>
          <t>졸준위 예산</t>
        </is>
      </c>
      <c r="C59" s="5" t="inlineStr">
        <is>
          <t>장비 렌탈</t>
        </is>
      </c>
      <c r="D59" s="7" t="inlineStr">
        <is>
          <t>PC 렌탈 (iMac 19대 + 데스크탑 1대)</t>
        </is>
      </c>
      <c r="E59" s="12" t="n"/>
      <c r="F59" s="5" t="inlineStr">
        <is>
          <t>20대</t>
        </is>
      </c>
      <c r="G59" s="5" t="inlineStr">
        <is>
          <t>업체 미확정</t>
        </is>
      </c>
      <c r="H59" s="7" t="inlineStr">
        <is>
          <t>배정 260만원 · 견적은 아래 참고표</t>
        </is>
      </c>
      <c r="I59" s="5" t="inlineStr">
        <is>
          <t>졸준위 하드웨어 업체비교.xlsx</t>
        </is>
      </c>
    </row>
    <row r="60">
      <c r="A60" s="5" t="inlineStr">
        <is>
          <t>영상팀</t>
        </is>
      </c>
      <c r="B60" s="5" t="inlineStr">
        <is>
          <t>졸준위 예산</t>
        </is>
      </c>
      <c r="C60" s="5" t="inlineStr">
        <is>
          <t>회의비</t>
        </is>
      </c>
      <c r="D60" s="7" t="inlineStr">
        <is>
          <t>영상팀 예산 (DIMO)</t>
        </is>
      </c>
      <c r="E60" s="12" t="n"/>
      <c r="F60" s="5" t="inlineStr">
        <is>
          <t>9명</t>
        </is>
      </c>
      <c r="G60" s="5" t="inlineStr"/>
      <c r="H60" s="7" t="inlineStr">
        <is>
          <t>세부 예산안 파일 없음 · 배정 300,000원</t>
        </is>
      </c>
      <c r="I60" s="5" t="inlineStr">
        <is>
          <t>팀 별 예산안.xlsx</t>
        </is>
      </c>
    </row>
    <row r="61">
      <c r="A61" s="5" t="inlineStr">
        <is>
          <t>본부</t>
        </is>
      </c>
      <c r="B61" s="5" t="inlineStr">
        <is>
          <t>졸준위 예산</t>
        </is>
      </c>
      <c r="C61" s="5" t="inlineStr">
        <is>
          <t>회의비</t>
        </is>
      </c>
      <c r="D61" s="7" t="inlineStr">
        <is>
          <t>본부 회의비</t>
        </is>
      </c>
      <c r="E61" s="6" t="n">
        <v>60000</v>
      </c>
      <c r="F61" s="5" t="inlineStr">
        <is>
          <t>2명</t>
        </is>
      </c>
      <c r="G61" s="5" t="inlineStr"/>
      <c r="H61" s="7" t="inlineStr">
        <is>
          <t>30,000원 × 2</t>
        </is>
      </c>
      <c r="I61" s="5" t="inlineStr">
        <is>
          <t>팀 별 예산안.xlsx(2025_예산내역)</t>
        </is>
      </c>
    </row>
    <row r="62">
      <c r="A62" s="5" t="inlineStr">
        <is>
          <t>본부</t>
        </is>
      </c>
      <c r="B62" s="5" t="inlineStr">
        <is>
          <t>졸준위 예산</t>
        </is>
      </c>
      <c r="C62" s="5" t="inlineStr">
        <is>
          <t>운영비</t>
        </is>
      </c>
      <c r="D62" s="7" t="inlineStr">
        <is>
          <t>졸업전시 웹사이트 도메인 연장</t>
        </is>
      </c>
      <c r="E62" s="6" t="n">
        <v>118800</v>
      </c>
      <c r="F62" s="5" t="n">
        <v>1</v>
      </c>
      <c r="G62" s="5" t="inlineStr">
        <is>
          <t>카페24</t>
        </is>
      </c>
      <c r="H62" s="7" t="inlineStr">
        <is>
          <t>전시지원금 · 2024와 동일 금액</t>
        </is>
      </c>
      <c r="I62" s="5" t="inlineStr">
        <is>
          <t>팀 별 예산안.xlsx</t>
        </is>
      </c>
    </row>
    <row r="63">
      <c r="D63" s="8" t="inlineStr">
        <is>
          <t>졸준위 예산 합계</t>
        </is>
      </c>
      <c r="E63" s="9">
        <f>SUMIFS(E5:E62,B5:B62,"졸준위 예산")</f>
        <v/>
      </c>
    </row>
    <row r="64">
      <c r="D64" s="8" t="inlineStr">
        <is>
          <t>시제품제작비 합계 (졸준위 예산 외)</t>
        </is>
      </c>
      <c r="E64" s="9">
        <f>SUMIFS(E5:E62,B5:B62,"시제품제작비")</f>
        <v/>
      </c>
    </row>
    <row r="65">
      <c r="A65" s="2" t="inlineStr">
        <is>
          <t>※ 음영 행 = 팀 예산안에서 '시제품 제작비'로 따로 분류한 항목 (학과 시제품제작지원비 1인 12만원에서 지출, 졸준위 예산과 별개). 금액 빈칸 = 원본에 금액 미기재.</t>
        </is>
      </c>
    </row>
    <row r="67">
      <c r="A67" s="3" t="inlineStr">
        <is>
          <t>참고 · 하드웨어팀 PC 렌탈 업체 견적 비교 (부가세 포함)</t>
        </is>
      </c>
    </row>
    <row r="68">
      <c r="A68" s="4" t="inlineStr">
        <is>
          <t>구분</t>
        </is>
      </c>
      <c r="B68" s="4" t="inlineStr">
        <is>
          <t>업체</t>
        </is>
      </c>
      <c r="C68" s="4" t="inlineStr">
        <is>
          <t>견적(원)</t>
        </is>
      </c>
      <c r="D68" s="4" t="inlineStr">
        <is>
          <t>사양</t>
        </is>
      </c>
      <c r="E68" s="4" t="inlineStr">
        <is>
          <t>비고</t>
        </is>
      </c>
    </row>
    <row r="69">
      <c r="A69" s="5" t="inlineStr">
        <is>
          <t>iMac 19대</t>
        </is>
      </c>
      <c r="B69" s="5" t="inlineStr">
        <is>
          <t>애플플라자</t>
        </is>
      </c>
      <c r="C69" s="6" t="n">
        <v>2173600</v>
      </c>
      <c r="D69" s="7" t="inlineStr">
        <is>
          <t>iMac 2019 27" 5K, i9 8코어</t>
        </is>
      </c>
      <c r="E69" s="7" t="inlineStr">
        <is>
          <t>응대 매우 친절, 키보드·마우스·랜케이블 소액 대여</t>
        </is>
      </c>
    </row>
    <row r="70">
      <c r="A70" s="5" t="inlineStr">
        <is>
          <t>iMac 19대</t>
        </is>
      </c>
      <c r="B70" s="5" t="inlineStr">
        <is>
          <t>맥을 사용하는 사람들</t>
        </is>
      </c>
      <c r="C70" s="6" t="n">
        <v>1900000</v>
      </c>
      <c r="D70" s="7" t="inlineStr">
        <is>
          <t>iMac 2017 27" 4K, i5 4코어</t>
        </is>
      </c>
      <c r="E70" s="7" t="inlineStr">
        <is>
          <t>키보드·마우스·랜케이블 무료</t>
        </is>
      </c>
    </row>
    <row r="71">
      <c r="A71" s="5" t="inlineStr">
        <is>
          <t>iMac 19대</t>
        </is>
      </c>
      <c r="B71" s="5" t="inlineStr">
        <is>
          <t>한푼 닷컴</t>
        </is>
      </c>
      <c r="C71" s="6" t="n">
        <v>1672000</v>
      </c>
      <c r="D71" s="7" t="inlineStr">
        <is>
          <t>iMac 2017 27" 2K</t>
        </is>
      </c>
      <c r="E71" s="7" t="inlineStr">
        <is>
          <t>키보드·마우스 무료, 랜케이블 별도</t>
        </is>
      </c>
    </row>
    <row r="72">
      <c r="A72" s="5" t="inlineStr">
        <is>
          <t>데스크탑 1대</t>
        </is>
      </c>
      <c r="B72" s="5" t="inlineStr">
        <is>
          <t>달컴</t>
        </is>
      </c>
      <c r="C72" s="6" t="n">
        <v>122000</v>
      </c>
      <c r="D72" s="7" t="inlineStr">
        <is>
          <t>i5-12400F / RTX30 시리즈</t>
        </is>
      </c>
      <c r="E72" s="7" t="inlineStr">
        <is>
          <t>배송비·키보드·마우스·모니터 포함</t>
        </is>
      </c>
    </row>
  </sheetData>
  <autoFilter ref="A4:I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14" customWidth="1" min="4" max="4"/>
    <col width="14" customWidth="1" min="5" max="5"/>
    <col width="13" customWidth="1" min="6" max="6"/>
    <col width="14" customWidth="1" min="7" max="7"/>
    <col width="12" customWidth="1" min="8" max="8"/>
    <col width="10" customWidth="1" min="9" max="9"/>
    <col width="30" customWidth="1" min="10" max="10"/>
  </cols>
  <sheetData>
    <row r="1">
      <c r="A1" s="1" t="inlineStr">
        <is>
          <t>2024 졸업준비위원회 실제 지출 내역 (항목별)</t>
        </is>
      </c>
    </row>
    <row r="2">
      <c r="A2" s="2" t="inlineStr">
        <is>
          <t>출처: 2024 졸업준비위원회_수입지출내역.xlsx · 결제/송금 완료 기준 · 실제 사용 기록이 남아 있는 최신 자료</t>
        </is>
      </c>
    </row>
    <row r="4">
      <c r="A4" s="4" t="inlineStr">
        <is>
          <t>팀</t>
        </is>
      </c>
      <c r="B4" s="4" t="inlineStr">
        <is>
          <t>내역</t>
        </is>
      </c>
      <c r="C4" s="4" t="inlineStr">
        <is>
          <t>재원</t>
        </is>
      </c>
      <c r="D4" s="4" t="inlineStr">
        <is>
          <t>예산액(원)</t>
        </is>
      </c>
      <c r="E4" s="4" t="inlineStr">
        <is>
          <t>실사용액(원)</t>
        </is>
      </c>
      <c r="F4" s="4" t="inlineStr">
        <is>
          <t>반환·잔액(원)</t>
        </is>
      </c>
      <c r="G4" s="4" t="inlineStr">
        <is>
          <t>사용처</t>
        </is>
      </c>
      <c r="H4" s="4" t="inlineStr">
        <is>
          <t>실 결제일</t>
        </is>
      </c>
      <c r="I4" s="4" t="inlineStr">
        <is>
          <t>상태</t>
        </is>
      </c>
      <c r="J4" s="4" t="inlineStr">
        <is>
          <t>비고</t>
        </is>
      </c>
    </row>
    <row r="5">
      <c r="A5" s="5" t="inlineStr">
        <is>
          <t>본부</t>
        </is>
      </c>
      <c r="B5" s="7" t="inlineStr">
        <is>
          <t>회의비 (졸전 설치 저녁 식사)</t>
        </is>
      </c>
      <c r="C5" s="5" t="inlineStr">
        <is>
          <t>학생회비</t>
        </is>
      </c>
      <c r="D5" s="6" t="n">
        <v>60000</v>
      </c>
      <c r="E5" s="6" t="n">
        <v>26000</v>
      </c>
      <c r="F5" s="12">
        <f>D5-E5</f>
        <v/>
      </c>
      <c r="G5" s="5" t="inlineStr"/>
      <c r="H5" s="22" t="n"/>
      <c r="I5" s="5" t="inlineStr"/>
      <c r="J5" s="7" t="inlineStr">
        <is>
          <t>13,000×2 (11/20) · 학회장 계좌</t>
        </is>
      </c>
    </row>
    <row r="6">
      <c r="A6" s="5" t="inlineStr">
        <is>
          <t>본부</t>
        </is>
      </c>
      <c r="B6" s="7" t="inlineStr">
        <is>
          <t>졸업전시 사이트 도메인 연장</t>
        </is>
      </c>
      <c r="C6" s="5" t="inlineStr">
        <is>
          <t>전시지원금</t>
        </is>
      </c>
      <c r="D6" s="6" t="n">
        <v>118800</v>
      </c>
      <c r="E6" s="6" t="n">
        <v>118800</v>
      </c>
      <c r="F6" s="12">
        <f>D6-E6</f>
        <v/>
      </c>
      <c r="G6" s="5" t="inlineStr">
        <is>
          <t>카페24</t>
        </is>
      </c>
      <c r="H6" s="22" t="n">
        <v>45604</v>
      </c>
      <c r="I6" s="5" t="inlineStr">
        <is>
          <t>구매완료</t>
        </is>
      </c>
      <c r="J6" s="7" t="inlineStr"/>
    </row>
    <row r="7">
      <c r="A7" s="5" t="inlineStr">
        <is>
          <t>본부</t>
        </is>
      </c>
      <c r="B7" s="7" t="inlineStr">
        <is>
          <t>[예비비] 부스 설치 인원 식사</t>
        </is>
      </c>
      <c r="C7" s="5" t="inlineStr">
        <is>
          <t>학생회비</t>
        </is>
      </c>
      <c r="D7" s="6" t="n">
        <v>143000</v>
      </c>
      <c r="E7" s="6" t="n">
        <v>143000</v>
      </c>
      <c r="F7" s="12">
        <f>D7-E7</f>
        <v/>
      </c>
      <c r="G7" s="5" t="inlineStr"/>
      <c r="H7" s="22" t="n">
        <v>45615</v>
      </c>
      <c r="I7" s="5" t="inlineStr">
        <is>
          <t>송금완료</t>
        </is>
      </c>
      <c r="J7" s="7" t="inlineStr">
        <is>
          <t>학회장 계좌</t>
        </is>
      </c>
    </row>
    <row r="8">
      <c r="A8" s="5" t="inlineStr">
        <is>
          <t>본부</t>
        </is>
      </c>
      <c r="B8" s="7" t="inlineStr">
        <is>
          <t>[예비비] 오프닝팀 택시비</t>
        </is>
      </c>
      <c r="C8" s="5" t="inlineStr">
        <is>
          <t>학생회비</t>
        </is>
      </c>
      <c r="D8" s="6" t="n">
        <v>15800</v>
      </c>
      <c r="E8" s="6" t="n">
        <v>15800</v>
      </c>
      <c r="F8" s="12">
        <f>D8-E8</f>
        <v/>
      </c>
      <c r="G8" s="5" t="inlineStr">
        <is>
          <t>택시</t>
        </is>
      </c>
      <c r="H8" s="22" t="n">
        <v>45618</v>
      </c>
      <c r="I8" s="5" t="inlineStr">
        <is>
          <t>송금완료</t>
        </is>
      </c>
      <c r="J8" s="7" t="inlineStr">
        <is>
          <t>케이크 이동</t>
        </is>
      </c>
    </row>
    <row r="9">
      <c r="A9" s="5" t="inlineStr">
        <is>
          <t>본부</t>
        </is>
      </c>
      <c r="B9" s="7" t="inlineStr">
        <is>
          <t>[예비비] 물 구매 (15묶음)</t>
        </is>
      </c>
      <c r="C9" s="5" t="inlineStr">
        <is>
          <t>학생회비</t>
        </is>
      </c>
      <c r="D9" s="6" t="n">
        <v>127940</v>
      </c>
      <c r="E9" s="6" t="n">
        <v>127940</v>
      </c>
      <c r="F9" s="12">
        <f>D9-E9</f>
        <v/>
      </c>
      <c r="G9" s="5" t="inlineStr">
        <is>
          <t>쿠팡</t>
        </is>
      </c>
      <c r="H9" s="22" t="n">
        <v>45616</v>
      </c>
      <c r="I9" s="5" t="inlineStr">
        <is>
          <t>구매완료</t>
        </is>
      </c>
      <c r="J9" s="7" t="inlineStr"/>
    </row>
    <row r="10">
      <c r="A10" s="5" t="inlineStr">
        <is>
          <t>본부</t>
        </is>
      </c>
      <c r="B10" s="7" t="inlineStr">
        <is>
          <t>[예비비] 전시팀 한가람 구매</t>
        </is>
      </c>
      <c r="C10" s="5" t="inlineStr">
        <is>
          <t>학생회비</t>
        </is>
      </c>
      <c r="D10" s="6" t="n">
        <v>23600</v>
      </c>
      <c r="E10" s="6" t="n">
        <v>23600</v>
      </c>
      <c r="F10" s="12">
        <f>D10-E10</f>
        <v/>
      </c>
      <c r="G10" s="5" t="inlineStr">
        <is>
          <t>한가람</t>
        </is>
      </c>
      <c r="H10" s="22" t="n">
        <v>45617</v>
      </c>
      <c r="I10" s="5" t="inlineStr">
        <is>
          <t>송금완료</t>
        </is>
      </c>
      <c r="J10" s="7" t="inlineStr">
        <is>
          <t>전시팀장 계좌</t>
        </is>
      </c>
    </row>
    <row r="11">
      <c r="A11" s="5" t="inlineStr">
        <is>
          <t>본부</t>
        </is>
      </c>
      <c r="B11" s="7" t="inlineStr">
        <is>
          <t>[예비비] 전시팀 택시비</t>
        </is>
      </c>
      <c r="C11" s="5" t="inlineStr">
        <is>
          <t>학생회비</t>
        </is>
      </c>
      <c r="D11" s="6" t="n">
        <v>16300</v>
      </c>
      <c r="E11" s="6" t="n">
        <v>16300</v>
      </c>
      <c r="F11" s="12">
        <f>D11-E11</f>
        <v/>
      </c>
      <c r="G11" s="5" t="inlineStr">
        <is>
          <t>택시</t>
        </is>
      </c>
      <c r="H11" s="22" t="n">
        <v>45616</v>
      </c>
      <c r="I11" s="5" t="inlineStr">
        <is>
          <t>송금완료</t>
        </is>
      </c>
      <c r="J11" s="7" t="inlineStr"/>
    </row>
    <row r="12">
      <c r="A12" s="5" t="inlineStr">
        <is>
          <t>홍보팀</t>
        </is>
      </c>
      <c r="B12" s="7" t="inlineStr">
        <is>
          <t>회의비 (9명)</t>
        </is>
      </c>
      <c r="C12" s="5" t="inlineStr">
        <is>
          <t>학생회비</t>
        </is>
      </c>
      <c r="D12" s="6" t="n">
        <v>270000</v>
      </c>
      <c r="E12" s="6" t="n">
        <v>270000</v>
      </c>
      <c r="F12" s="12">
        <f>D12-E12</f>
        <v/>
      </c>
      <c r="G12" s="5" t="inlineStr"/>
      <c r="H12" s="22" t="n">
        <v>45602</v>
      </c>
      <c r="I12" s="5" t="inlineStr">
        <is>
          <t>송금완료</t>
        </is>
      </c>
      <c r="J12" s="7" t="inlineStr">
        <is>
          <t>홍보팀장 계좌</t>
        </is>
      </c>
    </row>
    <row r="13">
      <c r="A13" s="5" t="inlineStr">
        <is>
          <t>홍보팀</t>
        </is>
      </c>
      <c r="B13" s="7" t="inlineStr">
        <is>
          <t>화이트 B2 포스터 (별색) 50매</t>
        </is>
      </c>
      <c r="C13" s="5" t="inlineStr">
        <is>
          <t>전시지원금</t>
        </is>
      </c>
      <c r="D13" s="6" t="n">
        <v>330000</v>
      </c>
      <c r="E13" s="6" t="n">
        <v>330000</v>
      </c>
      <c r="F13" s="12">
        <f>D13-E13</f>
        <v/>
      </c>
      <c r="G13" s="5" t="inlineStr">
        <is>
          <t>제이엠기획</t>
        </is>
      </c>
      <c r="H13" s="22" t="n">
        <v>45611</v>
      </c>
      <c r="I13" s="5" t="inlineStr">
        <is>
          <t>구매완료</t>
        </is>
      </c>
      <c r="J13" s="7" t="inlineStr"/>
    </row>
    <row r="14">
      <c r="A14" s="5" t="inlineStr">
        <is>
          <t>홍보팀</t>
        </is>
      </c>
      <c r="B14" s="7" t="inlineStr">
        <is>
          <t>블랙 B2 포스터 (별색) 50매</t>
        </is>
      </c>
      <c r="C14" s="5" t="inlineStr">
        <is>
          <t>전시지원금</t>
        </is>
      </c>
      <c r="D14" s="6" t="n">
        <v>330000</v>
      </c>
      <c r="E14" s="6" t="n">
        <v>330000</v>
      </c>
      <c r="F14" s="12">
        <f>D14-E14</f>
        <v/>
      </c>
      <c r="G14" s="5" t="inlineStr">
        <is>
          <t>제이엠기획</t>
        </is>
      </c>
      <c r="H14" s="22" t="n">
        <v>45611</v>
      </c>
      <c r="I14" s="5" t="inlineStr">
        <is>
          <t>구매완료</t>
        </is>
      </c>
      <c r="J14" s="7" t="inlineStr"/>
    </row>
    <row r="15">
      <c r="A15" s="5" t="inlineStr">
        <is>
          <t>홍보팀</t>
        </is>
      </c>
      <c r="B15" s="7" t="inlineStr">
        <is>
          <t>대형현수막 A 720×514cm</t>
        </is>
      </c>
      <c r="C15" s="5" t="inlineStr">
        <is>
          <t>전시지원금</t>
        </is>
      </c>
      <c r="D15" s="6" t="n">
        <v>33000</v>
      </c>
      <c r="E15" s="6" t="n">
        <v>33000</v>
      </c>
      <c r="F15" s="12">
        <f>D15-E15</f>
        <v/>
      </c>
      <c r="G15" s="5" t="inlineStr"/>
      <c r="H15" s="22" t="n">
        <v>45611</v>
      </c>
      <c r="I15" s="5" t="inlineStr">
        <is>
          <t>구매완료</t>
        </is>
      </c>
      <c r="J15" s="7" t="inlineStr"/>
    </row>
    <row r="16">
      <c r="A16" s="5" t="inlineStr">
        <is>
          <t>홍보팀</t>
        </is>
      </c>
      <c r="B16" s="7" t="inlineStr">
        <is>
          <t>대형현수막 B 420×300cm</t>
        </is>
      </c>
      <c r="C16" s="5" t="inlineStr">
        <is>
          <t>전시지원금</t>
        </is>
      </c>
      <c r="D16" s="6" t="n">
        <v>33000</v>
      </c>
      <c r="E16" s="6" t="n">
        <v>33000</v>
      </c>
      <c r="F16" s="12">
        <f>D16-E16</f>
        <v/>
      </c>
      <c r="G16" s="5" t="inlineStr"/>
      <c r="H16" s="22" t="n">
        <v>45611</v>
      </c>
      <c r="I16" s="5" t="inlineStr">
        <is>
          <t>구매완료</t>
        </is>
      </c>
      <c r="J16" s="7" t="inlineStr"/>
    </row>
    <row r="17">
      <c r="A17" s="5" t="inlineStr">
        <is>
          <t>홍보팀</t>
        </is>
      </c>
      <c r="B17" s="7" t="inlineStr">
        <is>
          <t>케이블타이</t>
        </is>
      </c>
      <c r="C17" s="5" t="inlineStr">
        <is>
          <t>전시지원금</t>
        </is>
      </c>
      <c r="D17" s="6" t="n">
        <v>7900</v>
      </c>
      <c r="E17" s="6" t="n">
        <v>7900</v>
      </c>
      <c r="F17" s="12">
        <f>D17-E17</f>
        <v/>
      </c>
      <c r="G17" s="5" t="inlineStr">
        <is>
          <t>쿠팡</t>
        </is>
      </c>
      <c r="H17" s="22" t="n"/>
      <c r="I17" s="5" t="inlineStr">
        <is>
          <t>구매완료</t>
        </is>
      </c>
      <c r="J17" s="7" t="inlineStr"/>
    </row>
    <row r="18">
      <c r="A18" s="5" t="inlineStr">
        <is>
          <t>홍보팀</t>
        </is>
      </c>
      <c r="B18" s="7" t="inlineStr">
        <is>
          <t>메모지</t>
        </is>
      </c>
      <c r="C18" s="5" t="inlineStr">
        <is>
          <t>전시지원금</t>
        </is>
      </c>
      <c r="D18" s="6" t="n">
        <v>22400</v>
      </c>
      <c r="E18" s="6" t="n">
        <v>22400</v>
      </c>
      <c r="F18" s="12">
        <f>D18-E18</f>
        <v/>
      </c>
      <c r="G18" s="5" t="inlineStr">
        <is>
          <t>쿠팡</t>
        </is>
      </c>
      <c r="H18" s="22" t="n"/>
      <c r="I18" s="5" t="inlineStr">
        <is>
          <t>구매완료</t>
        </is>
      </c>
      <c r="J18" s="7" t="inlineStr"/>
    </row>
    <row r="19">
      <c r="A19" s="5" t="inlineStr">
        <is>
          <t>홍보팀</t>
        </is>
      </c>
      <c r="B19" s="7" t="inlineStr">
        <is>
          <t>볼펜</t>
        </is>
      </c>
      <c r="C19" s="5" t="inlineStr">
        <is>
          <t>전시지원금</t>
        </is>
      </c>
      <c r="D19" s="6" t="n">
        <v>9400</v>
      </c>
      <c r="E19" s="6" t="n">
        <v>9400</v>
      </c>
      <c r="F19" s="12">
        <f>D19-E19</f>
        <v/>
      </c>
      <c r="G19" s="5" t="inlineStr">
        <is>
          <t>쿠팡</t>
        </is>
      </c>
      <c r="H19" s="22" t="n"/>
      <c r="I19" s="5" t="inlineStr">
        <is>
          <t>구매완료</t>
        </is>
      </c>
      <c r="J19" s="7" t="inlineStr"/>
    </row>
    <row r="20">
      <c r="A20" s="5" t="inlineStr">
        <is>
          <t>홍보팀</t>
        </is>
      </c>
      <c r="B20" s="7" t="inlineStr">
        <is>
          <t>배부용 비닐 봉투</t>
        </is>
      </c>
      <c r="C20" s="5" t="inlineStr">
        <is>
          <t>전시지원금</t>
        </is>
      </c>
      <c r="D20" s="6" t="n">
        <v>42100</v>
      </c>
      <c r="E20" s="6" t="n">
        <v>42100</v>
      </c>
      <c r="F20" s="12">
        <f>D20-E20</f>
        <v/>
      </c>
      <c r="G20" s="5" t="inlineStr">
        <is>
          <t>쿠팡</t>
        </is>
      </c>
      <c r="H20" s="22" t="n"/>
      <c r="I20" s="5" t="inlineStr">
        <is>
          <t>구매완료</t>
        </is>
      </c>
      <c r="J20" s="7" t="inlineStr"/>
    </row>
    <row r="21">
      <c r="A21" s="5" t="inlineStr">
        <is>
          <t>홍보팀</t>
        </is>
      </c>
      <c r="B21" s="7" t="inlineStr">
        <is>
          <t>형광 시트지</t>
        </is>
      </c>
      <c r="C21" s="5" t="inlineStr">
        <is>
          <t>전시지원금</t>
        </is>
      </c>
      <c r="D21" s="6" t="n">
        <v>11000</v>
      </c>
      <c r="E21" s="6" t="n">
        <v>11000</v>
      </c>
      <c r="F21" s="12">
        <f>D21-E21</f>
        <v/>
      </c>
      <c r="G21" s="5" t="inlineStr">
        <is>
          <t>쿠팡</t>
        </is>
      </c>
      <c r="H21" s="22" t="n"/>
      <c r="I21" s="5" t="inlineStr">
        <is>
          <t>구매완료</t>
        </is>
      </c>
      <c r="J21" s="7" t="inlineStr"/>
    </row>
    <row r="22">
      <c r="A22" s="5" t="inlineStr">
        <is>
          <t>홍보팀</t>
        </is>
      </c>
      <c r="B22" s="7" t="inlineStr">
        <is>
          <t>형광 스티커 롤</t>
        </is>
      </c>
      <c r="C22" s="5" t="inlineStr">
        <is>
          <t>전시지원금</t>
        </is>
      </c>
      <c r="D22" s="6" t="n">
        <v>7480</v>
      </c>
      <c r="E22" s="6" t="n">
        <v>7480</v>
      </c>
      <c r="F22" s="12">
        <f>D22-E22</f>
        <v/>
      </c>
      <c r="G22" s="5" t="inlineStr">
        <is>
          <t>쿠팡</t>
        </is>
      </c>
      <c r="H22" s="22" t="n"/>
      <c r="I22" s="5" t="inlineStr">
        <is>
          <t>구매완료</t>
        </is>
      </c>
      <c r="J22" s="7" t="inlineStr"/>
    </row>
    <row r="23">
      <c r="A23" s="5" t="inlineStr">
        <is>
          <t>홍보팀</t>
        </is>
      </c>
      <c r="B23" s="7" t="inlineStr">
        <is>
          <t>형광 면 테이프</t>
        </is>
      </c>
      <c r="C23" s="5" t="inlineStr">
        <is>
          <t>전시지원금</t>
        </is>
      </c>
      <c r="D23" s="6" t="n">
        <v>14100</v>
      </c>
      <c r="E23" s="6" t="n">
        <v>14100</v>
      </c>
      <c r="F23" s="12">
        <f>D23-E23</f>
        <v/>
      </c>
      <c r="G23" s="5" t="inlineStr">
        <is>
          <t>쿠팡</t>
        </is>
      </c>
      <c r="H23" s="22" t="n"/>
      <c r="I23" s="5" t="inlineStr">
        <is>
          <t>구매완료</t>
        </is>
      </c>
      <c r="J23" s="7" t="inlineStr"/>
    </row>
    <row r="24">
      <c r="A24" s="5" t="inlineStr">
        <is>
          <t>홍보팀</t>
        </is>
      </c>
      <c r="B24" s="7" t="inlineStr">
        <is>
          <t>폼보드</t>
        </is>
      </c>
      <c r="C24" s="5" t="inlineStr">
        <is>
          <t>전시지원금</t>
        </is>
      </c>
      <c r="D24" s="6" t="n">
        <v>22650</v>
      </c>
      <c r="E24" s="6" t="n">
        <v>22650</v>
      </c>
      <c r="F24" s="12">
        <f>D24-E24</f>
        <v/>
      </c>
      <c r="G24" s="5" t="inlineStr">
        <is>
          <t>쿠팡</t>
        </is>
      </c>
      <c r="H24" s="22" t="n"/>
      <c r="I24" s="5" t="inlineStr">
        <is>
          <t>구매완료</t>
        </is>
      </c>
      <c r="J24" s="7" t="inlineStr"/>
    </row>
    <row r="25">
      <c r="A25" s="5" t="inlineStr">
        <is>
          <t>홍보팀</t>
        </is>
      </c>
      <c r="B25" s="7" t="inlineStr">
        <is>
          <t>배송비</t>
        </is>
      </c>
      <c r="C25" s="5" t="inlineStr">
        <is>
          <t>전시지원금</t>
        </is>
      </c>
      <c r="D25" s="6" t="n">
        <v>8600</v>
      </c>
      <c r="E25" s="6" t="n">
        <v>8600</v>
      </c>
      <c r="F25" s="12">
        <f>D25-E25</f>
        <v/>
      </c>
      <c r="G25" s="5" t="inlineStr">
        <is>
          <t>쿠팡</t>
        </is>
      </c>
      <c r="H25" s="22" t="n"/>
      <c r="I25" s="5" t="inlineStr">
        <is>
          <t>구매완료</t>
        </is>
      </c>
      <c r="J25" s="7" t="inlineStr"/>
    </row>
    <row r="26">
      <c r="A26" s="5" t="inlineStr">
        <is>
          <t>전시팀</t>
        </is>
      </c>
      <c r="B26" s="7" t="inlineStr">
        <is>
          <t>회의비 (12명)</t>
        </is>
      </c>
      <c r="C26" s="5" t="inlineStr">
        <is>
          <t>학생회비</t>
        </is>
      </c>
      <c r="D26" s="6" t="n">
        <v>360000</v>
      </c>
      <c r="E26" s="6" t="n">
        <v>360000</v>
      </c>
      <c r="F26" s="12">
        <f>D26-E26</f>
        <v/>
      </c>
      <c r="G26" s="5" t="inlineStr"/>
      <c r="H26" s="22" t="n">
        <v>45603</v>
      </c>
      <c r="I26" s="5" t="inlineStr">
        <is>
          <t>송금완료</t>
        </is>
      </c>
      <c r="J26" s="7" t="inlineStr">
        <is>
          <t>전시팀장 계좌</t>
        </is>
      </c>
    </row>
    <row r="27">
      <c r="A27" s="5" t="inlineStr">
        <is>
          <t>전시팀</t>
        </is>
      </c>
      <c r="B27" s="7" t="inlineStr">
        <is>
          <t>파티션 대여 (32개)</t>
        </is>
      </c>
      <c r="C27" s="5" t="inlineStr">
        <is>
          <t>학생회비</t>
        </is>
      </c>
      <c r="D27" s="6" t="n">
        <v>1364000</v>
      </c>
      <c r="E27" s="6" t="n">
        <v>1364000</v>
      </c>
      <c r="F27" s="12">
        <f>D27-E27</f>
        <v/>
      </c>
      <c r="G27" s="5" t="inlineStr">
        <is>
          <t>강남렌탈</t>
        </is>
      </c>
      <c r="H27" s="22" t="n">
        <v>45616</v>
      </c>
      <c r="I27" s="5" t="inlineStr">
        <is>
          <t>송금완료</t>
        </is>
      </c>
      <c r="J27" s="7" t="inlineStr">
        <is>
          <t>전시팀장 계좌</t>
        </is>
      </c>
    </row>
    <row r="28">
      <c r="A28" s="5" t="inlineStr">
        <is>
          <t>전시팀</t>
        </is>
      </c>
      <c r="B28" s="7" t="inlineStr">
        <is>
          <t>파티션 가림 천 (실 수량 60장)</t>
        </is>
      </c>
      <c r="C28" s="5" t="inlineStr">
        <is>
          <t>학생회비</t>
        </is>
      </c>
      <c r="D28" s="6" t="n">
        <v>789600</v>
      </c>
      <c r="E28" s="6" t="n">
        <v>789600</v>
      </c>
      <c r="F28" s="12">
        <f>D28-E28</f>
        <v/>
      </c>
      <c r="G28" s="5" t="inlineStr">
        <is>
          <t>원단닷컴</t>
        </is>
      </c>
      <c r="H28" s="22" t="n">
        <v>45644</v>
      </c>
      <c r="I28" s="5" t="inlineStr">
        <is>
          <t>구매완료</t>
        </is>
      </c>
      <c r="J28" s="7" t="inlineStr"/>
    </row>
    <row r="29">
      <c r="A29" s="5" t="inlineStr">
        <is>
          <t>전시팀</t>
        </is>
      </c>
      <c r="B29" s="7" t="inlineStr">
        <is>
          <t>테이블+테이블보 대여 (17개)</t>
        </is>
      </c>
      <c r="C29" s="5" t="inlineStr">
        <is>
          <t>전시지원금</t>
        </is>
      </c>
      <c r="D29" s="6" t="n">
        <v>638000</v>
      </c>
      <c r="E29" s="6" t="n">
        <v>638000</v>
      </c>
      <c r="F29" s="12">
        <f>D29-E29</f>
        <v/>
      </c>
      <c r="G29" s="5" t="inlineStr">
        <is>
          <t>렌탈프리</t>
        </is>
      </c>
      <c r="H29" s="22" t="n">
        <v>45620</v>
      </c>
      <c r="I29" s="5" t="inlineStr">
        <is>
          <t>구매완료</t>
        </is>
      </c>
      <c r="J29" s="7" t="inlineStr"/>
    </row>
    <row r="30">
      <c r="A30" s="5" t="inlineStr">
        <is>
          <t>전시팀</t>
        </is>
      </c>
      <c r="B30" s="7" t="inlineStr">
        <is>
          <t>천 고정용 양면 테이프 (13개)</t>
        </is>
      </c>
      <c r="C30" s="5" t="inlineStr">
        <is>
          <t>성과전시지원금</t>
        </is>
      </c>
      <c r="D30" s="6" t="n">
        <v>150300</v>
      </c>
      <c r="E30" s="6" t="n">
        <v>150300</v>
      </c>
      <c r="F30" s="12">
        <f>D30-E30</f>
        <v/>
      </c>
      <c r="G30" s="5" t="inlineStr">
        <is>
          <t>일상공감</t>
        </is>
      </c>
      <c r="H30" s="22" t="n">
        <v>45602</v>
      </c>
      <c r="I30" s="5" t="inlineStr">
        <is>
          <t>구매완료</t>
        </is>
      </c>
      <c r="J30" s="7" t="inlineStr"/>
    </row>
    <row r="31">
      <c r="A31" s="5" t="inlineStr">
        <is>
          <t>전시팀</t>
        </is>
      </c>
      <c r="B31" s="7" t="inlineStr">
        <is>
          <t>스티커 제거제 (16개)</t>
        </is>
      </c>
      <c r="C31" s="5" t="inlineStr">
        <is>
          <t>전시지원금</t>
        </is>
      </c>
      <c r="D31" s="6" t="n">
        <v>59440</v>
      </c>
      <c r="E31" s="6" t="n">
        <v>59440</v>
      </c>
      <c r="F31" s="12">
        <f>D31-E31</f>
        <v/>
      </c>
      <c r="G31" s="5" t="inlineStr">
        <is>
          <t>쿠팡</t>
        </is>
      </c>
      <c r="H31" s="22" t="n">
        <v>45604</v>
      </c>
      <c r="I31" s="5" t="inlineStr">
        <is>
          <t>구매완료</t>
        </is>
      </c>
      <c r="J31" s="7" t="inlineStr"/>
    </row>
    <row r="32">
      <c r="A32" s="5" t="inlineStr">
        <is>
          <t>전시팀</t>
        </is>
      </c>
      <c r="B32" s="7" t="inlineStr">
        <is>
          <t>스크래퍼 (6개)</t>
        </is>
      </c>
      <c r="C32" s="5" t="inlineStr">
        <is>
          <t>전시지원금</t>
        </is>
      </c>
      <c r="D32" s="6" t="n">
        <v>15900</v>
      </c>
      <c r="E32" s="6" t="n">
        <v>15900</v>
      </c>
      <c r="F32" s="12">
        <f>D32-E32</f>
        <v/>
      </c>
      <c r="G32" s="5" t="inlineStr">
        <is>
          <t>쿠팡</t>
        </is>
      </c>
      <c r="H32" s="22" t="n">
        <v>45604</v>
      </c>
      <c r="I32" s="5" t="inlineStr">
        <is>
          <t>구매완료</t>
        </is>
      </c>
      <c r="J32" s="7" t="inlineStr"/>
    </row>
    <row r="33">
      <c r="A33" s="5" t="inlineStr">
        <is>
          <t>전시팀</t>
        </is>
      </c>
      <c r="B33" s="7" t="inlineStr">
        <is>
          <t>목장갑 (10개)</t>
        </is>
      </c>
      <c r="C33" s="5" t="inlineStr">
        <is>
          <t>전시지원금</t>
        </is>
      </c>
      <c r="D33" s="6" t="n">
        <v>4000</v>
      </c>
      <c r="E33" s="6" t="n">
        <v>4000</v>
      </c>
      <c r="F33" s="12">
        <f>D33-E33</f>
        <v/>
      </c>
      <c r="G33" s="5" t="inlineStr">
        <is>
          <t>쿠팡</t>
        </is>
      </c>
      <c r="H33" s="22" t="n">
        <v>45604</v>
      </c>
      <c r="I33" s="5" t="inlineStr">
        <is>
          <t>구매완료</t>
        </is>
      </c>
      <c r="J33" s="7" t="inlineStr"/>
    </row>
    <row r="34">
      <c r="A34" s="5" t="inlineStr">
        <is>
          <t>전시팀</t>
        </is>
      </c>
      <c r="B34" s="7" t="inlineStr">
        <is>
          <t>스팀다리미 (3개)</t>
        </is>
      </c>
      <c r="C34" s="5" t="inlineStr">
        <is>
          <t>학생회비</t>
        </is>
      </c>
      <c r="D34" s="6" t="n">
        <v>77970</v>
      </c>
      <c r="E34" s="6" t="n">
        <v>77970</v>
      </c>
      <c r="F34" s="12">
        <f>D34-E34</f>
        <v/>
      </c>
      <c r="G34" s="5" t="inlineStr">
        <is>
          <t>쿠팡</t>
        </is>
      </c>
      <c r="H34" s="22" t="n">
        <v>45604</v>
      </c>
      <c r="I34" s="5" t="inlineStr">
        <is>
          <t>구매완료</t>
        </is>
      </c>
      <c r="J34" s="7" t="inlineStr">
        <is>
          <t>전시지원금으로 구매 불가 품목</t>
        </is>
      </c>
    </row>
    <row r="35">
      <c r="A35" s="5" t="inlineStr">
        <is>
          <t>전시팀</t>
        </is>
      </c>
      <c r="B35" s="7" t="inlineStr">
        <is>
          <t>마스킹 테이프 (4개)</t>
        </is>
      </c>
      <c r="C35" s="5" t="inlineStr">
        <is>
          <t>전시지원금</t>
        </is>
      </c>
      <c r="D35" s="6" t="n">
        <v>8900</v>
      </c>
      <c r="E35" s="6" t="n">
        <v>8900</v>
      </c>
      <c r="F35" s="12">
        <f>D35-E35</f>
        <v/>
      </c>
      <c r="G35" s="5" t="inlineStr">
        <is>
          <t>쿠팡</t>
        </is>
      </c>
      <c r="H35" s="22" t="n">
        <v>45604</v>
      </c>
      <c r="I35" s="5" t="inlineStr">
        <is>
          <t>구매완료</t>
        </is>
      </c>
      <c r="J35" s="7" t="inlineStr"/>
    </row>
    <row r="36">
      <c r="A36" s="5" t="inlineStr">
        <is>
          <t>오프닝팀</t>
        </is>
      </c>
      <c r="B36" s="7" t="inlineStr">
        <is>
          <t>회의비 (8명)</t>
        </is>
      </c>
      <c r="C36" s="5" t="inlineStr">
        <is>
          <t>학생회비</t>
        </is>
      </c>
      <c r="D36" s="6" t="n">
        <v>240000</v>
      </c>
      <c r="E36" s="6" t="n">
        <v>100900</v>
      </c>
      <c r="F36" s="12">
        <f>D36-E36</f>
        <v/>
      </c>
      <c r="G36" s="5" t="inlineStr"/>
      <c r="H36" s="22" t="n">
        <v>45601</v>
      </c>
      <c r="I36" s="5" t="inlineStr">
        <is>
          <t>송금완료</t>
        </is>
      </c>
      <c r="J36" s="7" t="inlineStr">
        <is>
          <t>남은 139,100원 11/26 반환</t>
        </is>
      </c>
    </row>
    <row r="37">
      <c r="A37" s="5" t="inlineStr">
        <is>
          <t>오프닝팀</t>
        </is>
      </c>
      <c r="B37" s="7" t="inlineStr">
        <is>
          <t>케이크</t>
        </is>
      </c>
      <c r="C37" s="5" t="inlineStr">
        <is>
          <t>학생회비</t>
        </is>
      </c>
      <c r="D37" s="6" t="n">
        <v>122000</v>
      </c>
      <c r="E37" s="6" t="n">
        <v>122000</v>
      </c>
      <c r="F37" s="12">
        <f>D37-E37</f>
        <v/>
      </c>
      <c r="G37" s="5" t="inlineStr">
        <is>
          <t>클로버 케이크</t>
        </is>
      </c>
      <c r="H37" s="22" t="n">
        <v>45601</v>
      </c>
      <c r="I37" s="5" t="inlineStr">
        <is>
          <t>송금완료</t>
        </is>
      </c>
      <c r="J37" s="7" t="inlineStr"/>
    </row>
    <row r="38">
      <c r="A38" s="5" t="inlineStr">
        <is>
          <t>오프닝팀</t>
        </is>
      </c>
      <c r="B38" s="7" t="inlineStr">
        <is>
          <t>헬륨풍선 (투명·핑크앤블루)</t>
        </is>
      </c>
      <c r="C38" s="5" t="inlineStr">
        <is>
          <t>학생회비</t>
        </is>
      </c>
      <c r="D38" s="6" t="n">
        <v>170500</v>
      </c>
      <c r="E38" s="6" t="n">
        <v>170500</v>
      </c>
      <c r="F38" s="12">
        <f>D38-E38</f>
        <v/>
      </c>
      <c r="G38" s="5" t="inlineStr">
        <is>
          <t>파티하우스</t>
        </is>
      </c>
      <c r="H38" s="22" t="n">
        <v>45604</v>
      </c>
      <c r="I38" s="5" t="inlineStr">
        <is>
          <t>구매완료</t>
        </is>
      </c>
      <c r="J38" s="7" t="inlineStr"/>
    </row>
    <row r="39">
      <c r="A39" s="5" t="inlineStr">
        <is>
          <t>오프닝팀</t>
        </is>
      </c>
      <c r="B39" s="7" t="inlineStr">
        <is>
          <t>라운드 풍선 펄 화이트 (50개)</t>
        </is>
      </c>
      <c r="C39" s="5" t="inlineStr">
        <is>
          <t>전시지원금</t>
        </is>
      </c>
      <c r="D39" s="6" t="n">
        <v>6400</v>
      </c>
      <c r="E39" s="6" t="n">
        <v>6400</v>
      </c>
      <c r="F39" s="12">
        <f>D39-E39</f>
        <v/>
      </c>
      <c r="G39" s="5" t="inlineStr">
        <is>
          <t>쿠팡</t>
        </is>
      </c>
      <c r="H39" s="22" t="n">
        <v>45604</v>
      </c>
      <c r="I39" s="5" t="inlineStr">
        <is>
          <t>구매완료</t>
        </is>
      </c>
      <c r="J39" s="7" t="inlineStr"/>
    </row>
    <row r="40">
      <c r="A40" s="5" t="inlineStr">
        <is>
          <t>오프닝팀</t>
        </is>
      </c>
      <c r="B40" s="7" t="inlineStr">
        <is>
          <t>인조 넝쿨 조화</t>
        </is>
      </c>
      <c r="C40" s="5" t="inlineStr">
        <is>
          <t>전시지원금</t>
        </is>
      </c>
      <c r="D40" s="6" t="n">
        <v>11000</v>
      </c>
      <c r="E40" s="6" t="n">
        <v>11000</v>
      </c>
      <c r="F40" s="12">
        <f>D40-E40</f>
        <v/>
      </c>
      <c r="G40" s="5" t="inlineStr">
        <is>
          <t>쿠팡</t>
        </is>
      </c>
      <c r="H40" s="22" t="n">
        <v>45604</v>
      </c>
      <c r="I40" s="5" t="inlineStr">
        <is>
          <t>구매완료</t>
        </is>
      </c>
      <c r="J40" s="7" t="inlineStr"/>
    </row>
    <row r="41">
      <c r="A41" s="5" t="inlineStr">
        <is>
          <t>오프닝팀</t>
        </is>
      </c>
      <c r="B41" s="7" t="inlineStr">
        <is>
          <t>자이언트 조화 (대형 꽃)</t>
        </is>
      </c>
      <c r="C41" s="5" t="inlineStr">
        <is>
          <t>전시지원금</t>
        </is>
      </c>
      <c r="D41" s="6" t="n">
        <v>32400</v>
      </c>
      <c r="E41" s="6" t="n">
        <v>32400</v>
      </c>
      <c r="F41" s="12">
        <f>D41-E41</f>
        <v/>
      </c>
      <c r="G41" s="5" t="inlineStr">
        <is>
          <t>쿠팡</t>
        </is>
      </c>
      <c r="H41" s="22" t="n">
        <v>45604</v>
      </c>
      <c r="I41" s="5" t="inlineStr">
        <is>
          <t>구매완료</t>
        </is>
      </c>
      <c r="J41" s="7" t="inlineStr"/>
    </row>
    <row r="42">
      <c r="A42" s="5" t="inlineStr">
        <is>
          <t>오프닝팀</t>
        </is>
      </c>
      <c r="B42" s="7" t="inlineStr">
        <is>
          <t>데이지 풍선 세트 (3세트)</t>
        </is>
      </c>
      <c r="C42" s="5" t="inlineStr">
        <is>
          <t>전시지원금</t>
        </is>
      </c>
      <c r="D42" s="6" t="n">
        <v>41700</v>
      </c>
      <c r="E42" s="6" t="n">
        <v>41700</v>
      </c>
      <c r="F42" s="12">
        <f>D42-E42</f>
        <v/>
      </c>
      <c r="G42" s="5" t="inlineStr">
        <is>
          <t>쿠팡</t>
        </is>
      </c>
      <c r="H42" s="22" t="n">
        <v>45604</v>
      </c>
      <c r="I42" s="5" t="inlineStr">
        <is>
          <t>구매완료</t>
        </is>
      </c>
      <c r="J42" s="7" t="inlineStr"/>
    </row>
    <row r="43">
      <c r="A43" s="5" t="inlineStr">
        <is>
          <t>오프닝팀</t>
        </is>
      </c>
      <c r="B43" s="7" t="inlineStr">
        <is>
          <t>커팅리본 + 별꽃장식</t>
        </is>
      </c>
      <c r="C43" s="5" t="inlineStr">
        <is>
          <t>전시지원금</t>
        </is>
      </c>
      <c r="D43" s="6" t="n">
        <v>25800</v>
      </c>
      <c r="E43" s="6" t="n">
        <v>25800</v>
      </c>
      <c r="F43" s="12">
        <f>D43-E43</f>
        <v/>
      </c>
      <c r="G43" s="5" t="inlineStr">
        <is>
          <t>쿠팡</t>
        </is>
      </c>
      <c r="H43" s="22" t="n">
        <v>45604</v>
      </c>
      <c r="I43" s="5" t="inlineStr">
        <is>
          <t>구매완료</t>
        </is>
      </c>
      <c r="J43" s="7" t="inlineStr"/>
    </row>
    <row r="44">
      <c r="A44" s="5" t="inlineStr">
        <is>
          <t>오프닝팀</t>
        </is>
      </c>
      <c r="B44" s="7" t="inlineStr">
        <is>
          <t>컷팅식 용품 (테이프·쟁반·가위)</t>
        </is>
      </c>
      <c r="C44" s="5" t="inlineStr">
        <is>
          <t>전시지원금</t>
        </is>
      </c>
      <c r="D44" s="6" t="n">
        <v>4400</v>
      </c>
      <c r="E44" s="6" t="n">
        <v>4400</v>
      </c>
      <c r="F44" s="12">
        <f>D44-E44</f>
        <v/>
      </c>
      <c r="G44" s="5" t="inlineStr">
        <is>
          <t>쿠팡</t>
        </is>
      </c>
      <c r="H44" s="22" t="n">
        <v>45604</v>
      </c>
      <c r="I44" s="5" t="inlineStr">
        <is>
          <t>구매완료</t>
        </is>
      </c>
      <c r="J44" s="7" t="inlineStr"/>
    </row>
    <row r="45">
      <c r="A45" s="5" t="inlineStr">
        <is>
          <t>오프닝팀</t>
        </is>
      </c>
      <c r="B45" s="7" t="inlineStr">
        <is>
          <t>흰색 면장갑 (9개)</t>
        </is>
      </c>
      <c r="C45" s="5" t="inlineStr">
        <is>
          <t>전시지원금</t>
        </is>
      </c>
      <c r="D45" s="6" t="n">
        <v>8100</v>
      </c>
      <c r="E45" s="6" t="n">
        <v>8100</v>
      </c>
      <c r="F45" s="12">
        <f>D45-E45</f>
        <v/>
      </c>
      <c r="G45" s="5" t="inlineStr">
        <is>
          <t>쿠팡</t>
        </is>
      </c>
      <c r="H45" s="22" t="n">
        <v>45604</v>
      </c>
      <c r="I45" s="5" t="inlineStr">
        <is>
          <t>구매완료</t>
        </is>
      </c>
      <c r="J45" s="7" t="inlineStr"/>
    </row>
    <row r="46">
      <c r="A46" s="5" t="inlineStr">
        <is>
          <t>오프닝팀</t>
        </is>
      </c>
      <c r="B46" s="7" t="inlineStr">
        <is>
          <t>자수 수건 (졸업선물) 100개</t>
        </is>
      </c>
      <c r="C46" s="5" t="inlineStr">
        <is>
          <t>전시지원금</t>
        </is>
      </c>
      <c r="D46" s="6" t="n">
        <v>856570</v>
      </c>
      <c r="E46" s="6" t="n">
        <v>856570</v>
      </c>
      <c r="F46" s="12">
        <f>D46-E46</f>
        <v/>
      </c>
      <c r="G46" s="5" t="inlineStr">
        <is>
          <t>주아기프트</t>
        </is>
      </c>
      <c r="H46" s="22" t="n">
        <v>45604</v>
      </c>
      <c r="I46" s="5" t="inlineStr">
        <is>
          <t>구매완료</t>
        </is>
      </c>
      <c r="J46" s="7" t="inlineStr"/>
    </row>
    <row r="47">
      <c r="A47" s="5" t="inlineStr">
        <is>
          <t>오프닝팀</t>
        </is>
      </c>
      <c r="B47" s="7" t="inlineStr">
        <is>
          <t>자수 수건 (졸업선물) 30개</t>
        </is>
      </c>
      <c r="C47" s="5" t="inlineStr">
        <is>
          <t>학생회비</t>
        </is>
      </c>
      <c r="D47" s="6" t="n">
        <v>197670</v>
      </c>
      <c r="E47" s="6" t="n">
        <v>197670</v>
      </c>
      <c r="F47" s="12">
        <f>D47-E47</f>
        <v/>
      </c>
      <c r="G47" s="5" t="inlineStr">
        <is>
          <t>주아기프트</t>
        </is>
      </c>
      <c r="H47" s="22" t="n">
        <v>45605</v>
      </c>
      <c r="I47" s="5" t="inlineStr">
        <is>
          <t>구매완료</t>
        </is>
      </c>
      <c r="J47" s="7" t="inlineStr"/>
    </row>
    <row r="48">
      <c r="A48" s="5" t="inlineStr">
        <is>
          <t>오프닝팀</t>
        </is>
      </c>
      <c r="B48" s="7" t="inlineStr">
        <is>
          <t>배달의민족 상품권 40,000원</t>
        </is>
      </c>
      <c r="C48" s="5" t="inlineStr">
        <is>
          <t>학생회비</t>
        </is>
      </c>
      <c r="D48" s="6" t="n">
        <v>160000</v>
      </c>
      <c r="E48" s="6" t="n">
        <v>160000</v>
      </c>
      <c r="F48" s="12">
        <f>D48-E48</f>
        <v/>
      </c>
      <c r="G48" s="5" t="inlineStr"/>
      <c r="H48" s="22" t="n">
        <v>45617</v>
      </c>
      <c r="I48" s="5" t="inlineStr">
        <is>
          <t>송금완료</t>
        </is>
      </c>
      <c r="J48" s="7" t="inlineStr">
        <is>
          <t>오프닝팀장 계좌</t>
        </is>
      </c>
    </row>
    <row r="49">
      <c r="A49" s="5" t="inlineStr">
        <is>
          <t>하드웨어팀</t>
        </is>
      </c>
      <c r="B49" s="7" t="inlineStr">
        <is>
          <t>회의비 (3명)</t>
        </is>
      </c>
      <c r="C49" s="5" t="inlineStr">
        <is>
          <t>학생회비</t>
        </is>
      </c>
      <c r="D49" s="6" t="n">
        <v>90000</v>
      </c>
      <c r="E49" s="6" t="n">
        <v>90000</v>
      </c>
      <c r="F49" s="12">
        <f>D49-E49</f>
        <v/>
      </c>
      <c r="G49" s="5" t="inlineStr"/>
      <c r="H49" s="22" t="n">
        <v>45602</v>
      </c>
      <c r="I49" s="5" t="inlineStr">
        <is>
          <t>송금완료</t>
        </is>
      </c>
      <c r="J49" s="7" t="inlineStr"/>
    </row>
    <row r="50">
      <c r="A50" s="5" t="inlineStr">
        <is>
          <t>하드웨어팀</t>
        </is>
      </c>
      <c r="B50" s="7" t="inlineStr">
        <is>
          <t>iMac 27" 5K 렌탈 (21대, 키보드·마우스 포함)</t>
        </is>
      </c>
      <c r="C50" s="5" t="inlineStr">
        <is>
          <t>성과전시지원금</t>
        </is>
      </c>
      <c r="D50" s="6" t="n">
        <v>2310000</v>
      </c>
      <c r="E50" s="6" t="n">
        <v>2310000</v>
      </c>
      <c r="F50" s="12">
        <f>D50-E50</f>
        <v/>
      </c>
      <c r="G50" s="5" t="inlineStr">
        <is>
          <t>네이버</t>
        </is>
      </c>
      <c r="H50" s="22" t="n">
        <v>45603</v>
      </c>
      <c r="I50" s="5" t="inlineStr">
        <is>
          <t>구매완료</t>
        </is>
      </c>
      <c r="J50" s="7" t="inlineStr">
        <is>
          <t>운송비 없음</t>
        </is>
      </c>
    </row>
    <row r="51">
      <c r="A51" s="5" t="inlineStr">
        <is>
          <t>하드웨어팀</t>
        </is>
      </c>
      <c r="B51" s="7" t="inlineStr">
        <is>
          <t>3M 장갑 (6개)</t>
        </is>
      </c>
      <c r="C51" s="5" t="inlineStr">
        <is>
          <t>성과전시지원금</t>
        </is>
      </c>
      <c r="D51" s="6" t="n">
        <v>14440</v>
      </c>
      <c r="E51" s="6" t="n">
        <v>14440</v>
      </c>
      <c r="F51" s="12">
        <f>D51-E51</f>
        <v/>
      </c>
      <c r="G51" s="5" t="inlineStr">
        <is>
          <t>네이버</t>
        </is>
      </c>
      <c r="H51" s="22" t="n">
        <v>45602</v>
      </c>
      <c r="I51" s="5" t="inlineStr">
        <is>
          <t>구매완료</t>
        </is>
      </c>
      <c r="J51" s="7" t="inlineStr"/>
    </row>
    <row r="52">
      <c r="A52" s="5" t="inlineStr">
        <is>
          <t>하드웨어팀</t>
        </is>
      </c>
      <c r="B52" s="7" t="inlineStr">
        <is>
          <t>종이 마스킹테이프 (2개)</t>
        </is>
      </c>
      <c r="C52" s="5" t="inlineStr">
        <is>
          <t>성과전시지원금</t>
        </is>
      </c>
      <c r="D52" s="6" t="n">
        <v>5850</v>
      </c>
      <c r="E52" s="6" t="n">
        <v>5850</v>
      </c>
      <c r="F52" s="12">
        <f>D52-E52</f>
        <v/>
      </c>
      <c r="G52" s="5" t="inlineStr">
        <is>
          <t>달컴</t>
        </is>
      </c>
      <c r="H52" s="22" t="n">
        <v>45602</v>
      </c>
      <c r="I52" s="5" t="inlineStr">
        <is>
          <t>구매완료</t>
        </is>
      </c>
      <c r="J52" s="7" t="inlineStr"/>
    </row>
    <row r="53">
      <c r="A53" s="5" t="inlineStr">
        <is>
          <t>하드웨어팀</t>
        </is>
      </c>
      <c r="B53" s="7" t="inlineStr">
        <is>
          <t>영구 양면테이프 (20개)</t>
        </is>
      </c>
      <c r="C53" s="5" t="inlineStr">
        <is>
          <t>성과전시지원금</t>
        </is>
      </c>
      <c r="D53" s="6" t="n">
        <v>11200</v>
      </c>
      <c r="E53" s="6" t="n">
        <v>11200</v>
      </c>
      <c r="F53" s="12">
        <f>D53-E53</f>
        <v/>
      </c>
      <c r="G53" s="5" t="inlineStr">
        <is>
          <t>달컴</t>
        </is>
      </c>
      <c r="H53" s="22" t="n">
        <v>45602</v>
      </c>
      <c r="I53" s="5" t="inlineStr">
        <is>
          <t>구매완료</t>
        </is>
      </c>
      <c r="J53" s="7" t="inlineStr"/>
    </row>
    <row r="54">
      <c r="A54" s="5" t="inlineStr">
        <is>
          <t>영상팀</t>
        </is>
      </c>
      <c r="B54" s="7" t="inlineStr">
        <is>
          <t>회의비 (8명)</t>
        </is>
      </c>
      <c r="C54" s="5" t="inlineStr">
        <is>
          <t>학생회비</t>
        </is>
      </c>
      <c r="D54" s="6" t="n">
        <v>240000</v>
      </c>
      <c r="E54" s="6" t="n">
        <v>240000</v>
      </c>
      <c r="F54" s="12">
        <f>D54-E54</f>
        <v/>
      </c>
      <c r="G54" s="5" t="inlineStr"/>
      <c r="H54" s="22" t="n">
        <v>45602</v>
      </c>
      <c r="I54" s="5" t="inlineStr">
        <is>
          <t>송금완료</t>
        </is>
      </c>
      <c r="J54" s="7" t="inlineStr">
        <is>
          <t>영상팀 계좌</t>
        </is>
      </c>
    </row>
    <row r="55">
      <c r="B55" s="8" t="inlineStr">
        <is>
          <t>합계</t>
        </is>
      </c>
      <c r="D55" s="9">
        <f>SUM(D5:D54)</f>
        <v/>
      </c>
      <c r="E55" s="9">
        <f>SUM(E5:E54)</f>
        <v/>
      </c>
      <c r="F55" s="9">
        <f>SUM(F5:F54)</f>
        <v/>
      </c>
    </row>
    <row r="58">
      <c r="A58" s="3" t="inlineStr">
        <is>
          <t>팀 × 재원별 실사용액 (자동 집계)</t>
        </is>
      </c>
    </row>
    <row r="59">
      <c r="A59" s="4" t="inlineStr">
        <is>
          <t>팀</t>
        </is>
      </c>
      <c r="B59" s="4" t="inlineStr">
        <is>
          <t>학생회비</t>
        </is>
      </c>
      <c r="C59" s="4" t="inlineStr">
        <is>
          <t>전시지원금</t>
        </is>
      </c>
      <c r="D59" s="4" t="inlineStr">
        <is>
          <t>성과전시지원금</t>
        </is>
      </c>
      <c r="E59" s="4" t="inlineStr">
        <is>
          <t>합계</t>
        </is>
      </c>
    </row>
    <row r="60">
      <c r="A60" s="11" t="inlineStr">
        <is>
          <t>홍보팀</t>
        </is>
      </c>
      <c r="B60" s="12">
        <f>SUMIFS($E$5:$E$54,$A$5:$A$54,$A60,$C$5:$C$54,"학생회비")</f>
        <v/>
      </c>
      <c r="C60" s="12">
        <f>SUMIFS($E$5:$E$54,$A$5:$A$54,$A60,$C$5:$C$54,"전시지원금")</f>
        <v/>
      </c>
      <c r="D60" s="12">
        <f>SUMIFS($E$5:$E$54,$A$5:$A$54,$A60,$C$5:$C$54,"성과전시지원금")</f>
        <v/>
      </c>
      <c r="E60" s="12">
        <f>SUM(B60:D60)</f>
        <v/>
      </c>
    </row>
    <row r="61">
      <c r="A61" s="11" t="inlineStr">
        <is>
          <t>전시팀</t>
        </is>
      </c>
      <c r="B61" s="12">
        <f>SUMIFS($E$5:$E$54,$A$5:$A$54,$A61,$C$5:$C$54,"학생회비")</f>
        <v/>
      </c>
      <c r="C61" s="12">
        <f>SUMIFS($E$5:$E$54,$A$5:$A$54,$A61,$C$5:$C$54,"전시지원금")</f>
        <v/>
      </c>
      <c r="D61" s="12">
        <f>SUMIFS($E$5:$E$54,$A$5:$A$54,$A61,$C$5:$C$54,"성과전시지원금")</f>
        <v/>
      </c>
      <c r="E61" s="12">
        <f>SUM(B61:D61)</f>
        <v/>
      </c>
    </row>
    <row r="62">
      <c r="A62" s="11" t="inlineStr">
        <is>
          <t>오프닝팀</t>
        </is>
      </c>
      <c r="B62" s="12">
        <f>SUMIFS($E$5:$E$54,$A$5:$A$54,$A62,$C$5:$C$54,"학생회비")</f>
        <v/>
      </c>
      <c r="C62" s="12">
        <f>SUMIFS($E$5:$E$54,$A$5:$A$54,$A62,$C$5:$C$54,"전시지원금")</f>
        <v/>
      </c>
      <c r="D62" s="12">
        <f>SUMIFS($E$5:$E$54,$A$5:$A$54,$A62,$C$5:$C$54,"성과전시지원금")</f>
        <v/>
      </c>
      <c r="E62" s="12">
        <f>SUM(B62:D62)</f>
        <v/>
      </c>
    </row>
    <row r="63">
      <c r="A63" s="11" t="inlineStr">
        <is>
          <t>하드웨어팀</t>
        </is>
      </c>
      <c r="B63" s="12">
        <f>SUMIFS($E$5:$E$54,$A$5:$A$54,$A63,$C$5:$C$54,"학생회비")</f>
        <v/>
      </c>
      <c r="C63" s="12">
        <f>SUMIFS($E$5:$E$54,$A$5:$A$54,$A63,$C$5:$C$54,"전시지원금")</f>
        <v/>
      </c>
      <c r="D63" s="12">
        <f>SUMIFS($E$5:$E$54,$A$5:$A$54,$A63,$C$5:$C$54,"성과전시지원금")</f>
        <v/>
      </c>
      <c r="E63" s="12">
        <f>SUM(B63:D63)</f>
        <v/>
      </c>
    </row>
    <row r="64">
      <c r="A64" s="11" t="inlineStr">
        <is>
          <t>영상팀</t>
        </is>
      </c>
      <c r="B64" s="12">
        <f>SUMIFS($E$5:$E$54,$A$5:$A$54,$A64,$C$5:$C$54,"학생회비")</f>
        <v/>
      </c>
      <c r="C64" s="12">
        <f>SUMIFS($E$5:$E$54,$A$5:$A$54,$A64,$C$5:$C$54,"전시지원금")</f>
        <v/>
      </c>
      <c r="D64" s="12">
        <f>SUMIFS($E$5:$E$54,$A$5:$A$54,$A64,$C$5:$C$54,"성과전시지원금")</f>
        <v/>
      </c>
      <c r="E64" s="12">
        <f>SUM(B64:D64)</f>
        <v/>
      </c>
    </row>
    <row r="65">
      <c r="A65" s="11" t="inlineStr">
        <is>
          <t>본부</t>
        </is>
      </c>
      <c r="B65" s="12">
        <f>SUMIFS($E$5:$E$54,$A$5:$A$54,$A65,$C$5:$C$54,"학생회비")</f>
        <v/>
      </c>
      <c r="C65" s="12">
        <f>SUMIFS($E$5:$E$54,$A$5:$A$54,$A65,$C$5:$C$54,"전시지원금")</f>
        <v/>
      </c>
      <c r="D65" s="12">
        <f>SUMIFS($E$5:$E$54,$A$5:$A$54,$A65,$C$5:$C$54,"성과전시지원금")</f>
        <v/>
      </c>
      <c r="E65" s="12">
        <f>SUM(B65:D65)</f>
        <v/>
      </c>
    </row>
    <row r="66">
      <c r="A66" s="8" t="inlineStr">
        <is>
          <t>합계</t>
        </is>
      </c>
      <c r="B66" s="9">
        <f>SUM(B60:B65)</f>
        <v/>
      </c>
      <c r="C66" s="9">
        <f>SUM(C60:C65)</f>
        <v/>
      </c>
      <c r="D66" s="9">
        <f>SUM(D60:D65)</f>
        <v/>
      </c>
      <c r="E66" s="9">
        <f>SUM(E60:E65)</f>
        <v/>
      </c>
    </row>
    <row r="67">
      <c r="A67" s="15" t="inlineStr">
        <is>
          <t>재원</t>
        </is>
      </c>
      <c r="B67" s="21" t="n">
        <v>4635000</v>
      </c>
      <c r="C67" s="21" t="n">
        <v>2950000</v>
      </c>
      <c r="D67" s="21" t="n">
        <v>2500000</v>
      </c>
      <c r="E67" s="16">
        <f>SUM(B67:D67)</f>
        <v/>
      </c>
    </row>
    <row r="68">
      <c r="A68" s="15" t="inlineStr">
        <is>
          <t>미사용 잔액</t>
        </is>
      </c>
      <c r="B68" s="16">
        <f>B67-B66</f>
        <v/>
      </c>
      <c r="C68" s="16">
        <f>C67-C66</f>
        <v/>
      </c>
      <c r="D68" s="16">
        <f>D67-D66</f>
        <v/>
      </c>
      <c r="E68" s="16">
        <f>E67-E66</f>
        <v/>
      </c>
    </row>
    <row r="69">
      <c r="A69" s="2" t="inlineStr">
        <is>
          <t>※ 2024 학생회비 통장 잔액 339,720원은 납부자 103명에게 1인 3,298원씩 반환(원본 기재). 2024 학생회비 인당 45,000원.</t>
        </is>
      </c>
    </row>
  </sheetData>
  <autoFilter ref="A4:J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6" customWidth="1" min="4" max="4"/>
    <col width="12" customWidth="1" min="5" max="5"/>
    <col width="34" customWidth="1" min="6" max="6"/>
    <col width="12" customWidth="1" min="7" max="7"/>
    <col width="12" customWidth="1" min="8" max="8"/>
  </cols>
  <sheetData>
    <row r="1">
      <c r="A1" s="1" t="inlineStr">
        <is>
          <t>연도별 졸준위 예산 비교</t>
        </is>
      </c>
    </row>
    <row r="2">
      <c r="A2" s="2" t="inlineStr">
        <is>
          <t>출처: 2025_졸준위_분석본.html(2023), 각 연도 예산안 파일(2024·2025)</t>
        </is>
      </c>
    </row>
    <row r="4">
      <c r="A4" s="4" t="inlineStr">
        <is>
          <t>연도</t>
        </is>
      </c>
      <c r="B4" s="4" t="inlineStr">
        <is>
          <t>학생회비</t>
        </is>
      </c>
      <c r="C4" s="4" t="inlineStr">
        <is>
          <t>전시지원금</t>
        </is>
      </c>
      <c r="D4" s="4" t="inlineStr">
        <is>
          <t>성과전시지원금</t>
        </is>
      </c>
      <c r="E4" s="4" t="inlineStr">
        <is>
          <t>기타</t>
        </is>
      </c>
      <c r="F4" s="4" t="inlineStr">
        <is>
          <t>총 재원</t>
        </is>
      </c>
      <c r="G4" s="4" t="inlineStr">
        <is>
          <t>인당 회비</t>
        </is>
      </c>
      <c r="H4" s="4" t="inlineStr">
        <is>
          <t>졸준위 인원</t>
        </is>
      </c>
    </row>
    <row r="5">
      <c r="A5" s="11" t="inlineStr">
        <is>
          <t>2023</t>
        </is>
      </c>
      <c r="B5" s="6" t="n">
        <v>6510000</v>
      </c>
      <c r="C5" s="6" t="n">
        <v>2600000</v>
      </c>
      <c r="D5" s="6" t="n">
        <v>1381200</v>
      </c>
      <c r="E5" s="6" t="n">
        <v>1860000</v>
      </c>
      <c r="F5" s="12">
        <f>SUM(B5:E5)</f>
        <v/>
      </c>
      <c r="G5" s="6" t="n">
        <v>70000</v>
      </c>
      <c r="H5" s="23" t="n">
        <v>48</v>
      </c>
    </row>
    <row r="6">
      <c r="A6" s="11" t="inlineStr">
        <is>
          <t>2024</t>
        </is>
      </c>
      <c r="B6" s="6" t="n">
        <v>4635000</v>
      </c>
      <c r="C6" s="6" t="n">
        <v>2950000</v>
      </c>
      <c r="D6" s="6" t="n">
        <v>2500000</v>
      </c>
      <c r="E6" s="6" t="n">
        <v>0</v>
      </c>
      <c r="F6" s="12">
        <f>SUM(B6:E6)</f>
        <v/>
      </c>
      <c r="G6" s="6" t="n">
        <v>45000</v>
      </c>
      <c r="H6" s="23" t="n">
        <v>43</v>
      </c>
    </row>
    <row r="7">
      <c r="A7" s="11" t="inlineStr">
        <is>
          <t>2025</t>
        </is>
      </c>
      <c r="B7" s="6" t="n">
        <v>7200000</v>
      </c>
      <c r="C7" s="6" t="n">
        <v>3200000</v>
      </c>
      <c r="D7" s="6" t="n">
        <v>2500000</v>
      </c>
      <c r="E7" s="6" t="n">
        <v>0</v>
      </c>
      <c r="F7" s="12">
        <f>SUM(B7:E7)</f>
        <v/>
      </c>
      <c r="G7" s="6" t="n">
        <v>60000</v>
      </c>
      <c r="H7" s="23" t="n">
        <v>51</v>
      </c>
    </row>
    <row r="8">
      <c r="A8" s="2" t="inlineStr">
        <is>
          <t>※ 2023 기타 = 시제품 지원 1,860,000원. 2025 졸준위 인원은 예산안 기준 51명(본부 2 포함).</t>
        </is>
      </c>
    </row>
    <row r="10">
      <c r="A10" s="3" t="inlineStr">
        <is>
          <t>팀별 비교: 2024 실사용 vs 2025 배정</t>
        </is>
      </c>
    </row>
    <row r="11">
      <c r="A11" s="4" t="inlineStr">
        <is>
          <t>팀</t>
        </is>
      </c>
      <c r="B11" s="4" t="inlineStr">
        <is>
          <t>2024 실사용</t>
        </is>
      </c>
      <c r="C11" s="4" t="inlineStr">
        <is>
          <t>2025 배정</t>
        </is>
      </c>
      <c r="D11" s="4" t="inlineStr">
        <is>
          <t>증감</t>
        </is>
      </c>
      <c r="E11" s="4" t="inlineStr">
        <is>
          <t>증감률</t>
        </is>
      </c>
      <c r="F11" s="4" t="inlineStr">
        <is>
          <t>비고</t>
        </is>
      </c>
    </row>
    <row r="12">
      <c r="A12" s="11" t="inlineStr">
        <is>
          <t>브랜딩·홍보</t>
        </is>
      </c>
      <c r="B12" s="24">
        <f>INDEX('3_2024_실집행내역'!$E$60:$E$65,MATCH("홍보팀",'3_2024_실집행내역'!$A$60:$A$65,0))</f>
        <v/>
      </c>
      <c r="C12" s="24">
        <f>INDEX('1_2025_예산요약'!$E$13:$E$18,MATCH("브랜딩팀",'1_2025_예산요약'!$A$13:$A$18,0))</f>
        <v/>
      </c>
      <c r="D12" s="12">
        <f>C12-B12</f>
        <v/>
      </c>
      <c r="E12" s="25">
        <f>IFERROR(D12/B12,0)</f>
        <v/>
      </c>
      <c r="F12" s="7" t="inlineStr">
        <is>
          <t>2024 홍보팀 → 2025 브랜딩팀(홍보 포함)</t>
        </is>
      </c>
    </row>
    <row r="13">
      <c r="A13" s="11" t="inlineStr">
        <is>
          <t>전시팀</t>
        </is>
      </c>
      <c r="B13" s="24">
        <f>INDEX('3_2024_실집행내역'!$E$60:$E$65,MATCH("전시팀",'3_2024_실집행내역'!$A$60:$A$65,0))</f>
        <v/>
      </c>
      <c r="C13" s="24">
        <f>INDEX('1_2025_예산요약'!$E$13:$E$18,MATCH("전시팀",'1_2025_예산요약'!$A$13:$A$18,0))</f>
        <v/>
      </c>
      <c r="D13" s="12">
        <f>C13-B13</f>
        <v/>
      </c>
      <c r="E13" s="25">
        <f>IFERROR(D13/B13,0)</f>
        <v/>
      </c>
      <c r="F13" s="7" t="inlineStr">
        <is>
          <t>2025 가벽을 라이트너 전시가벽(440만)으로 교체</t>
        </is>
      </c>
    </row>
    <row r="14">
      <c r="A14" s="11" t="inlineStr">
        <is>
          <t>오프닝팀</t>
        </is>
      </c>
      <c r="B14" s="24">
        <f>INDEX('3_2024_실집행내역'!$E$60:$E$65,MATCH("오프닝팀",'3_2024_실집행내역'!$A$60:$A$65,0))</f>
        <v/>
      </c>
      <c r="C14" s="24">
        <f>INDEX('1_2025_예산요약'!$E$13:$E$18,MATCH("오프닝팀",'1_2025_예산요약'!$A$13:$A$18,0))</f>
        <v/>
      </c>
      <c r="D14" s="12">
        <f>C14-B14</f>
        <v/>
      </c>
      <c r="E14" s="25">
        <f>IFERROR(D14/B14,0)</f>
        <v/>
      </c>
      <c r="F14" s="7" t="inlineStr"/>
    </row>
    <row r="15">
      <c r="A15" s="11" t="inlineStr">
        <is>
          <t>하드웨어팀</t>
        </is>
      </c>
      <c r="B15" s="24">
        <f>INDEX('3_2024_실집행내역'!$E$60:$E$65,MATCH("하드웨어팀",'3_2024_실집행내역'!$A$60:$A$65,0))</f>
        <v/>
      </c>
      <c r="C15" s="24">
        <f>INDEX('1_2025_예산요약'!$E$13:$E$18,MATCH("하드웨어팀",'1_2025_예산요약'!$A$13:$A$18,0))</f>
        <v/>
      </c>
      <c r="D15" s="12">
        <f>C15-B15</f>
        <v/>
      </c>
      <c r="E15" s="25">
        <f>IFERROR(D15/B15,0)</f>
        <v/>
      </c>
      <c r="F15" s="7" t="inlineStr"/>
    </row>
    <row r="16">
      <c r="A16" s="11" t="inlineStr">
        <is>
          <t>영상팀</t>
        </is>
      </c>
      <c r="B16" s="24">
        <f>INDEX('3_2024_실집행내역'!$E$60:$E$65,MATCH("영상팀",'3_2024_실집행내역'!$A$60:$A$65,0))</f>
        <v/>
      </c>
      <c r="C16" s="24">
        <f>INDEX('1_2025_예산요약'!$E$13:$E$18,MATCH("영상팀",'1_2025_예산요약'!$A$13:$A$18,0))</f>
        <v/>
      </c>
      <c r="D16" s="12">
        <f>C16-B16</f>
        <v/>
      </c>
      <c r="E16" s="25">
        <f>IFERROR(D16/B16,0)</f>
        <v/>
      </c>
      <c r="F16" s="7" t="inlineStr"/>
    </row>
    <row r="17">
      <c r="A17" s="11" t="inlineStr">
        <is>
          <t>본부</t>
        </is>
      </c>
      <c r="B17" s="24">
        <f>INDEX('3_2024_실집행내역'!$E$60:$E$65,MATCH("본부",'3_2024_실집행내역'!$A$60:$A$65,0))</f>
        <v/>
      </c>
      <c r="C17" s="24">
        <f>INDEX('1_2025_예산요약'!$E$13:$E$18,MATCH("본부",'1_2025_예산요약'!$A$13:$A$18,0))</f>
        <v/>
      </c>
      <c r="D17" s="12">
        <f>C17-B17</f>
        <v/>
      </c>
      <c r="E17" s="25">
        <f>IFERROR(D17/B17,0)</f>
        <v/>
      </c>
      <c r="F17" s="7" t="inlineStr"/>
    </row>
    <row r="18">
      <c r="A18" s="8" t="inlineStr">
        <is>
          <t>합계</t>
        </is>
      </c>
      <c r="B18" s="9">
        <f>SUM(B12:B17)</f>
        <v/>
      </c>
      <c r="C18" s="9">
        <f>SUM(C12:C17)</f>
        <v/>
      </c>
      <c r="D18" s="9">
        <f>SUM(D12:D17)</f>
        <v/>
      </c>
      <c r="E18" s="26">
        <f>IFERROR(D18/B18,0)</f>
        <v/>
      </c>
      <c r="F18" s="10" t="inlineStr"/>
    </row>
    <row r="19">
      <c r="A19" s="2" t="inlineStr">
        <is>
          <t>※ 초록 글씨 = 다른 시트에서 가져온 값.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2026-09-30T03:14:30Z</dcterms:created>
  <dcterms:modified xmlns:dcterms="http://purl.org/dc/terms/" xmlns:xsi="http://www.w3.org/2001/XMLSchema-instance" xsi:type="dcterms:W3CDTF">2026-09-30T03:14:50Z</dcterms:modified>
</cp:coreProperties>
</file>